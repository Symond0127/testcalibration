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4720" windowHeight="12225" firstSheet="1" activeTab="2"/>
  </bookViews>
  <sheets>
    <sheet name="Sheet1" sheetId="1" state="hidden" r:id="rId1"/>
    <sheet name="UPDATED" sheetId="2" r:id="rId2"/>
    <sheet name="ICT1800" sheetId="5" r:id="rId3"/>
    <sheet name="ICT2000" sheetId="7" r:id="rId4"/>
    <sheet name="Sheet3" sheetId="6" state="hidden" r:id="rId5"/>
  </sheets>
  <externalReferences>
    <externalReference r:id="rId6"/>
  </externalReferences>
  <definedNames>
    <definedName name="_xlnm._FilterDatabase" localSheetId="1" hidden="1">UPDATED!$A$1:$L$248</definedName>
    <definedName name="_xlnm.Print_Area" localSheetId="2">'ICT1800'!$A$1:$AL$53</definedName>
    <definedName name="_xlnm.Print_Area" localSheetId="3">'ICT2000'!$A$1:$AL$53</definedName>
    <definedName name="Print_Area_MI" localSheetId="2">[1]ACFC!#REF!</definedName>
    <definedName name="Print_Area_MI" localSheetId="3">[1]ACFC!#REF!</definedName>
    <definedName name="Print_Area_MI">[1]ACFC!#REF!</definedName>
    <definedName name="_xlnm.Recorder" localSheetId="2">#REF!</definedName>
    <definedName name="_xlnm.Recorder" localSheetId="3">#REF!</definedName>
    <definedName name="_xlnm.Recorder">#REF!</definedName>
    <definedName name="RunOnOpen">'ICT1800'!$AN$16</definedName>
  </definedNames>
  <calcPr calcId="145621"/>
</workbook>
</file>

<file path=xl/calcChain.xml><?xml version="1.0" encoding="utf-8"?>
<calcChain xmlns="http://schemas.openxmlformats.org/spreadsheetml/2006/main">
  <c r="AN15" i="7" l="1"/>
  <c r="AB14" i="7" s="1"/>
  <c r="AN15" i="5"/>
  <c r="AB15" i="7" l="1"/>
  <c r="K15" i="7"/>
  <c r="K14" i="7"/>
  <c r="K16" i="7"/>
  <c r="K13" i="7"/>
  <c r="AB13" i="7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102" i="2"/>
  <c r="H58" i="2"/>
  <c r="H158" i="2"/>
  <c r="H60" i="2"/>
  <c r="H61" i="2"/>
  <c r="H171" i="2"/>
  <c r="H194" i="2"/>
  <c r="H188" i="2"/>
  <c r="H65" i="2"/>
  <c r="H66" i="2"/>
  <c r="H67" i="2"/>
  <c r="H68" i="2"/>
  <c r="H57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91" i="2"/>
  <c r="H185" i="2"/>
  <c r="H142" i="2"/>
  <c r="H92" i="2"/>
  <c r="H93" i="2"/>
  <c r="H69" i="2"/>
  <c r="H95" i="2"/>
  <c r="H96" i="2"/>
  <c r="H97" i="2"/>
  <c r="H143" i="2"/>
  <c r="H99" i="2"/>
  <c r="H154" i="2"/>
  <c r="H98" i="2"/>
  <c r="H163" i="2"/>
  <c r="H103" i="2"/>
  <c r="H104" i="2"/>
  <c r="H105" i="2"/>
  <c r="H94" i="2"/>
  <c r="H107" i="2"/>
  <c r="H108" i="2"/>
  <c r="H191" i="2"/>
  <c r="H110" i="2"/>
  <c r="H111" i="2"/>
  <c r="H112" i="2"/>
  <c r="H113" i="2"/>
  <c r="H151" i="2"/>
  <c r="H115" i="2"/>
  <c r="H116" i="2"/>
  <c r="H175" i="2"/>
  <c r="H118" i="2"/>
  <c r="H119" i="2"/>
  <c r="H120" i="2"/>
  <c r="H121" i="2"/>
  <c r="H122" i="2"/>
  <c r="H123" i="2"/>
  <c r="H124" i="2"/>
  <c r="H63" i="2"/>
  <c r="H126" i="2"/>
  <c r="H127" i="2"/>
  <c r="H109" i="2"/>
  <c r="H129" i="2"/>
  <c r="H130" i="2"/>
  <c r="H131" i="2"/>
  <c r="H132" i="2"/>
  <c r="H133" i="2"/>
  <c r="H64" i="2"/>
  <c r="H135" i="2"/>
  <c r="H136" i="2"/>
  <c r="H137" i="2"/>
  <c r="H138" i="2"/>
  <c r="H139" i="2"/>
  <c r="H90" i="2"/>
  <c r="H141" i="2"/>
  <c r="H145" i="2"/>
  <c r="H101" i="2"/>
  <c r="H144" i="2"/>
  <c r="H114" i="2"/>
  <c r="H146" i="2"/>
  <c r="H147" i="2"/>
  <c r="H148" i="2"/>
  <c r="H149" i="2"/>
  <c r="H150" i="2"/>
  <c r="H128" i="2"/>
  <c r="H152" i="2"/>
  <c r="H153" i="2"/>
  <c r="H170" i="2"/>
  <c r="H155" i="2"/>
  <c r="H156" i="2"/>
  <c r="H106" i="2"/>
  <c r="H125" i="2"/>
  <c r="H140" i="2"/>
  <c r="H160" i="2"/>
  <c r="H161" i="2"/>
  <c r="H162" i="2"/>
  <c r="H89" i="2"/>
  <c r="H164" i="2"/>
  <c r="H165" i="2"/>
  <c r="H186" i="2"/>
  <c r="H167" i="2"/>
  <c r="H168" i="2"/>
  <c r="H169" i="2"/>
  <c r="H134" i="2"/>
  <c r="H176" i="2"/>
  <c r="H157" i="2"/>
  <c r="H173" i="2"/>
  <c r="H174" i="2"/>
  <c r="H117" i="2"/>
  <c r="H166" i="2"/>
  <c r="H183" i="2"/>
  <c r="H178" i="2"/>
  <c r="H62" i="2"/>
  <c r="H180" i="2"/>
  <c r="H181" i="2"/>
  <c r="H187" i="2"/>
  <c r="H182" i="2"/>
  <c r="H184" i="2"/>
  <c r="H100" i="2"/>
  <c r="H59" i="2"/>
  <c r="H177" i="2"/>
  <c r="H159" i="2"/>
  <c r="H189" i="2"/>
  <c r="H190" i="2"/>
  <c r="H179" i="2"/>
  <c r="H192" i="2"/>
  <c r="H193" i="2"/>
  <c r="H172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102" i="2"/>
  <c r="I58" i="2"/>
  <c r="I158" i="2"/>
  <c r="I60" i="2"/>
  <c r="I61" i="2"/>
  <c r="I171" i="2"/>
  <c r="I194" i="2"/>
  <c r="I188" i="2"/>
  <c r="I65" i="2"/>
  <c r="I66" i="2"/>
  <c r="I67" i="2"/>
  <c r="I68" i="2"/>
  <c r="I57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91" i="2"/>
  <c r="I185" i="2"/>
  <c r="I142" i="2"/>
  <c r="I92" i="2"/>
  <c r="I93" i="2"/>
  <c r="I69" i="2"/>
  <c r="I95" i="2"/>
  <c r="I96" i="2"/>
  <c r="I97" i="2"/>
  <c r="I143" i="2"/>
  <c r="I99" i="2"/>
  <c r="I154" i="2"/>
  <c r="I98" i="2"/>
  <c r="I163" i="2"/>
  <c r="I103" i="2"/>
  <c r="I104" i="2"/>
  <c r="I105" i="2"/>
  <c r="I94" i="2"/>
  <c r="I107" i="2"/>
  <c r="I108" i="2"/>
  <c r="I191" i="2"/>
  <c r="I110" i="2"/>
  <c r="I111" i="2"/>
  <c r="I112" i="2"/>
  <c r="I113" i="2"/>
  <c r="I151" i="2"/>
  <c r="I115" i="2"/>
  <c r="I116" i="2"/>
  <c r="I175" i="2"/>
  <c r="I118" i="2"/>
  <c r="I119" i="2"/>
  <c r="I120" i="2"/>
  <c r="I121" i="2"/>
  <c r="I122" i="2"/>
  <c r="I123" i="2"/>
  <c r="I124" i="2"/>
  <c r="I63" i="2"/>
  <c r="I126" i="2"/>
  <c r="I127" i="2"/>
  <c r="I109" i="2"/>
  <c r="I129" i="2"/>
  <c r="I130" i="2"/>
  <c r="I131" i="2"/>
  <c r="I132" i="2"/>
  <c r="I133" i="2"/>
  <c r="I64" i="2"/>
  <c r="I135" i="2"/>
  <c r="I136" i="2"/>
  <c r="I137" i="2"/>
  <c r="I138" i="2"/>
  <c r="I139" i="2"/>
  <c r="I90" i="2"/>
  <c r="I141" i="2"/>
  <c r="I145" i="2"/>
  <c r="I101" i="2"/>
  <c r="I144" i="2"/>
  <c r="I114" i="2"/>
  <c r="I146" i="2"/>
  <c r="I147" i="2"/>
  <c r="I148" i="2"/>
  <c r="I149" i="2"/>
  <c r="I150" i="2"/>
  <c r="I128" i="2"/>
  <c r="I152" i="2"/>
  <c r="I153" i="2"/>
  <c r="I170" i="2"/>
  <c r="I155" i="2"/>
  <c r="I156" i="2"/>
  <c r="I106" i="2"/>
  <c r="I125" i="2"/>
  <c r="I140" i="2"/>
  <c r="I160" i="2"/>
  <c r="I161" i="2"/>
  <c r="I162" i="2"/>
  <c r="I89" i="2"/>
  <c r="I164" i="2"/>
  <c r="I165" i="2"/>
  <c r="I186" i="2"/>
  <c r="I167" i="2"/>
  <c r="I168" i="2"/>
  <c r="I169" i="2"/>
  <c r="I134" i="2"/>
  <c r="I176" i="2"/>
  <c r="I157" i="2"/>
  <c r="I173" i="2"/>
  <c r="I174" i="2"/>
  <c r="I117" i="2"/>
  <c r="I166" i="2"/>
  <c r="I183" i="2"/>
  <c r="I178" i="2"/>
  <c r="I62" i="2"/>
  <c r="I180" i="2"/>
  <c r="I181" i="2"/>
  <c r="I187" i="2"/>
  <c r="I182" i="2"/>
  <c r="I184" i="2"/>
  <c r="I100" i="2"/>
  <c r="I59" i="2"/>
  <c r="I177" i="2"/>
  <c r="I159" i="2"/>
  <c r="I189" i="2"/>
  <c r="I190" i="2"/>
  <c r="I179" i="2"/>
  <c r="I192" i="2"/>
  <c r="I193" i="2"/>
  <c r="I172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" i="2"/>
  <c r="K3" i="2" l="1"/>
  <c r="L3" i="2" s="1"/>
  <c r="K4" i="2"/>
  <c r="L4" i="2" s="1"/>
  <c r="K5" i="2"/>
  <c r="L5" i="2" s="1"/>
  <c r="K6" i="2"/>
  <c r="L6" i="2" s="1"/>
  <c r="K7" i="2"/>
  <c r="L7" i="2" s="1"/>
  <c r="K8" i="2"/>
  <c r="L8" i="2" s="1"/>
  <c r="K9" i="2"/>
  <c r="L9" i="2" s="1"/>
  <c r="K10" i="2"/>
  <c r="L10" i="2" s="1"/>
  <c r="K11" i="2"/>
  <c r="L11" i="2" s="1"/>
  <c r="K12" i="2"/>
  <c r="L12" i="2" s="1"/>
  <c r="K13" i="2"/>
  <c r="L13" i="2" s="1"/>
  <c r="K14" i="2"/>
  <c r="L14" i="2" s="1"/>
  <c r="K15" i="2"/>
  <c r="L15" i="2" s="1"/>
  <c r="K16" i="2"/>
  <c r="L16" i="2" s="1"/>
  <c r="K17" i="2"/>
  <c r="L17" i="2" s="1"/>
  <c r="K18" i="2"/>
  <c r="L18" i="2" s="1"/>
  <c r="K19" i="2"/>
  <c r="L19" i="2" s="1"/>
  <c r="K20" i="2"/>
  <c r="L20" i="2" s="1"/>
  <c r="K21" i="2"/>
  <c r="L21" i="2" s="1"/>
  <c r="K22" i="2"/>
  <c r="L22" i="2" s="1"/>
  <c r="K23" i="2"/>
  <c r="L23" i="2" s="1"/>
  <c r="K24" i="2"/>
  <c r="L24" i="2" s="1"/>
  <c r="K25" i="2"/>
  <c r="L25" i="2" s="1"/>
  <c r="K26" i="2"/>
  <c r="L26" i="2" s="1"/>
  <c r="K27" i="2"/>
  <c r="L27" i="2" s="1"/>
  <c r="K28" i="2"/>
  <c r="L28" i="2" s="1"/>
  <c r="K29" i="2"/>
  <c r="L29" i="2" s="1"/>
  <c r="K30" i="2"/>
  <c r="L30" i="2" s="1"/>
  <c r="K31" i="2"/>
  <c r="L31" i="2" s="1"/>
  <c r="K32" i="2"/>
  <c r="L32" i="2" s="1"/>
  <c r="K33" i="2"/>
  <c r="L33" i="2" s="1"/>
  <c r="K34" i="2"/>
  <c r="L34" i="2" s="1"/>
  <c r="K35" i="2"/>
  <c r="L35" i="2" s="1"/>
  <c r="K36" i="2"/>
  <c r="L36" i="2" s="1"/>
  <c r="K37" i="2"/>
  <c r="L37" i="2" s="1"/>
  <c r="K38" i="2"/>
  <c r="L38" i="2" s="1"/>
  <c r="K39" i="2"/>
  <c r="L39" i="2" s="1"/>
  <c r="K40" i="2"/>
  <c r="L40" i="2" s="1"/>
  <c r="K41" i="2"/>
  <c r="L41" i="2" s="1"/>
  <c r="K42" i="2"/>
  <c r="L42" i="2" s="1"/>
  <c r="K43" i="2"/>
  <c r="L43" i="2" s="1"/>
  <c r="K44" i="2"/>
  <c r="L44" i="2" s="1"/>
  <c r="K45" i="2"/>
  <c r="L45" i="2" s="1"/>
  <c r="K46" i="2"/>
  <c r="L46" i="2" s="1"/>
  <c r="K47" i="2"/>
  <c r="L47" i="2" s="1"/>
  <c r="K48" i="2"/>
  <c r="L48" i="2" s="1"/>
  <c r="K49" i="2"/>
  <c r="L49" i="2" s="1"/>
  <c r="K50" i="2"/>
  <c r="L50" i="2" s="1"/>
  <c r="K51" i="2"/>
  <c r="L51" i="2" s="1"/>
  <c r="K52" i="2"/>
  <c r="L52" i="2" s="1"/>
  <c r="K53" i="2"/>
  <c r="L53" i="2" s="1"/>
  <c r="K54" i="2"/>
  <c r="L54" i="2" s="1"/>
  <c r="K55" i="2"/>
  <c r="L55" i="2" s="1"/>
  <c r="K56" i="2"/>
  <c r="L56" i="2" s="1"/>
  <c r="K240" i="2"/>
  <c r="L240" i="2" s="1"/>
  <c r="K58" i="2"/>
  <c r="L58" i="2" s="1"/>
  <c r="K241" i="2"/>
  <c r="L241" i="2" s="1"/>
  <c r="K60" i="2"/>
  <c r="L60" i="2" s="1"/>
  <c r="K61" i="2"/>
  <c r="L61" i="2" s="1"/>
  <c r="K242" i="2"/>
  <c r="L242" i="2" s="1"/>
  <c r="K244" i="2"/>
  <c r="L244" i="2" s="1"/>
  <c r="K245" i="2"/>
  <c r="L245" i="2" s="1"/>
  <c r="K65" i="2"/>
  <c r="L65" i="2" s="1"/>
  <c r="K66" i="2"/>
  <c r="L66" i="2" s="1"/>
  <c r="K67" i="2"/>
  <c r="L67" i="2" s="1"/>
  <c r="K68" i="2"/>
  <c r="L68" i="2" s="1"/>
  <c r="K246" i="2"/>
  <c r="L246" i="2" s="1"/>
  <c r="K70" i="2"/>
  <c r="L70" i="2" s="1"/>
  <c r="K71" i="2"/>
  <c r="L71" i="2" s="1"/>
  <c r="K72" i="2"/>
  <c r="L72" i="2" s="1"/>
  <c r="K73" i="2"/>
  <c r="L73" i="2" s="1"/>
  <c r="K74" i="2"/>
  <c r="L74" i="2" s="1"/>
  <c r="K75" i="2"/>
  <c r="L75" i="2" s="1"/>
  <c r="K76" i="2"/>
  <c r="L76" i="2" s="1"/>
  <c r="K77" i="2"/>
  <c r="L77" i="2" s="1"/>
  <c r="K78" i="2"/>
  <c r="L78" i="2" s="1"/>
  <c r="K79" i="2"/>
  <c r="L79" i="2" s="1"/>
  <c r="K80" i="2"/>
  <c r="L80" i="2" s="1"/>
  <c r="K81" i="2"/>
  <c r="L81" i="2" s="1"/>
  <c r="K82" i="2"/>
  <c r="L82" i="2" s="1"/>
  <c r="K83" i="2"/>
  <c r="L83" i="2" s="1"/>
  <c r="K84" i="2"/>
  <c r="L84" i="2" s="1"/>
  <c r="K85" i="2"/>
  <c r="L85" i="2" s="1"/>
  <c r="K86" i="2"/>
  <c r="L86" i="2" s="1"/>
  <c r="K87" i="2"/>
  <c r="L87" i="2" s="1"/>
  <c r="K88" i="2"/>
  <c r="L88" i="2" s="1"/>
  <c r="K196" i="2"/>
  <c r="L196" i="2" s="1"/>
  <c r="K199" i="2"/>
  <c r="L199" i="2" s="1"/>
  <c r="K203" i="2"/>
  <c r="L203" i="2" s="1"/>
  <c r="K92" i="2"/>
  <c r="L92" i="2" s="1"/>
  <c r="K93" i="2"/>
  <c r="L93" i="2" s="1"/>
  <c r="K204" i="2"/>
  <c r="L204" i="2" s="1"/>
  <c r="K95" i="2"/>
  <c r="L95" i="2" s="1"/>
  <c r="K96" i="2"/>
  <c r="L96" i="2" s="1"/>
  <c r="K97" i="2"/>
  <c r="L97" i="2" s="1"/>
  <c r="K207" i="2"/>
  <c r="L207" i="2" s="1"/>
  <c r="K99" i="2"/>
  <c r="L99" i="2" s="1"/>
  <c r="K208" i="2"/>
  <c r="L208" i="2" s="1"/>
  <c r="K209" i="2"/>
  <c r="L209" i="2" s="1"/>
  <c r="K210" i="2"/>
  <c r="L210" i="2" s="1"/>
  <c r="K103" i="2"/>
  <c r="L103" i="2" s="1"/>
  <c r="K104" i="2"/>
  <c r="L104" i="2" s="1"/>
  <c r="K105" i="2"/>
  <c r="L105" i="2" s="1"/>
  <c r="K213" i="2"/>
  <c r="L213" i="2" s="1"/>
  <c r="K107" i="2"/>
  <c r="L107" i="2" s="1"/>
  <c r="K108" i="2"/>
  <c r="L108" i="2" s="1"/>
  <c r="K220" i="2"/>
  <c r="L220" i="2" s="1"/>
  <c r="K110" i="2"/>
  <c r="L110" i="2" s="1"/>
  <c r="K111" i="2"/>
  <c r="L111" i="2" s="1"/>
  <c r="K112" i="2"/>
  <c r="L112" i="2" s="1"/>
  <c r="K113" i="2"/>
  <c r="L113" i="2" s="1"/>
  <c r="K221" i="2"/>
  <c r="L221" i="2" s="1"/>
  <c r="K115" i="2"/>
  <c r="L115" i="2" s="1"/>
  <c r="K116" i="2"/>
  <c r="L116" i="2" s="1"/>
  <c r="K225" i="2"/>
  <c r="L225" i="2" s="1"/>
  <c r="K118" i="2"/>
  <c r="L118" i="2" s="1"/>
  <c r="K119" i="2"/>
  <c r="L119" i="2" s="1"/>
  <c r="K120" i="2"/>
  <c r="L120" i="2" s="1"/>
  <c r="K121" i="2"/>
  <c r="L121" i="2" s="1"/>
  <c r="K122" i="2"/>
  <c r="L122" i="2" s="1"/>
  <c r="K123" i="2"/>
  <c r="L123" i="2" s="1"/>
  <c r="K124" i="2"/>
  <c r="L124" i="2" s="1"/>
  <c r="K226" i="2"/>
  <c r="L226" i="2" s="1"/>
  <c r="K126" i="2"/>
  <c r="L126" i="2" s="1"/>
  <c r="K127" i="2"/>
  <c r="L127" i="2" s="1"/>
  <c r="K230" i="2"/>
  <c r="L230" i="2" s="1"/>
  <c r="K129" i="2"/>
  <c r="L129" i="2" s="1"/>
  <c r="K130" i="2"/>
  <c r="L130" i="2" s="1"/>
  <c r="K131" i="2"/>
  <c r="L131" i="2" s="1"/>
  <c r="K132" i="2"/>
  <c r="L132" i="2" s="1"/>
  <c r="K133" i="2"/>
  <c r="L133" i="2" s="1"/>
  <c r="K227" i="2"/>
  <c r="L227" i="2" s="1"/>
  <c r="K135" i="2"/>
  <c r="L135" i="2" s="1"/>
  <c r="K136" i="2"/>
  <c r="L136" i="2" s="1"/>
  <c r="K137" i="2"/>
  <c r="L137" i="2" s="1"/>
  <c r="K138" i="2"/>
  <c r="L138" i="2" s="1"/>
  <c r="K139" i="2"/>
  <c r="L139" i="2" s="1"/>
  <c r="K232" i="2"/>
  <c r="L232" i="2" s="1"/>
  <c r="K141" i="2"/>
  <c r="L141" i="2" s="1"/>
  <c r="K234" i="2"/>
  <c r="L234" i="2" s="1"/>
  <c r="K236" i="2"/>
  <c r="L236" i="2" s="1"/>
  <c r="K144" i="2"/>
  <c r="L144" i="2" s="1"/>
  <c r="K237" i="2"/>
  <c r="L237" i="2" s="1"/>
  <c r="K146" i="2"/>
  <c r="L146" i="2" s="1"/>
  <c r="K147" i="2"/>
  <c r="L147" i="2" s="1"/>
  <c r="K148" i="2"/>
  <c r="L148" i="2" s="1"/>
  <c r="K149" i="2"/>
  <c r="L149" i="2" s="1"/>
  <c r="K150" i="2"/>
  <c r="L150" i="2" s="1"/>
  <c r="K102" i="2"/>
  <c r="L102" i="2" s="1"/>
  <c r="K152" i="2"/>
  <c r="L152" i="2" s="1"/>
  <c r="K153" i="2"/>
  <c r="L153" i="2" s="1"/>
  <c r="K158" i="2"/>
  <c r="L158" i="2" s="1"/>
  <c r="K155" i="2"/>
  <c r="L155" i="2" s="1"/>
  <c r="K156" i="2"/>
  <c r="L156" i="2" s="1"/>
  <c r="K171" i="2"/>
  <c r="L171" i="2" s="1"/>
  <c r="K194" i="2"/>
  <c r="L194" i="2" s="1"/>
  <c r="K188" i="2"/>
  <c r="L188" i="2" s="1"/>
  <c r="K160" i="2"/>
  <c r="L160" i="2" s="1"/>
  <c r="K161" i="2"/>
  <c r="L161" i="2" s="1"/>
  <c r="K162" i="2"/>
  <c r="L162" i="2" s="1"/>
  <c r="K57" i="2"/>
  <c r="L57" i="2" s="1"/>
  <c r="K164" i="2"/>
  <c r="L164" i="2" s="1"/>
  <c r="K165" i="2"/>
  <c r="L165" i="2" s="1"/>
  <c r="K91" i="2"/>
  <c r="L91" i="2" s="1"/>
  <c r="K167" i="2"/>
  <c r="L167" i="2" s="1"/>
  <c r="K168" i="2"/>
  <c r="L168" i="2" s="1"/>
  <c r="K169" i="2"/>
  <c r="L169" i="2" s="1"/>
  <c r="K185" i="2"/>
  <c r="L185" i="2" s="1"/>
  <c r="K142" i="2"/>
  <c r="L142" i="2" s="1"/>
  <c r="K69" i="2"/>
  <c r="L69" i="2" s="1"/>
  <c r="K173" i="2"/>
  <c r="L173" i="2" s="1"/>
  <c r="K174" i="2"/>
  <c r="L174" i="2" s="1"/>
  <c r="K143" i="2"/>
  <c r="L143" i="2" s="1"/>
  <c r="K154" i="2"/>
  <c r="L154" i="2" s="1"/>
  <c r="K98" i="2"/>
  <c r="L98" i="2" s="1"/>
  <c r="K178" i="2"/>
  <c r="L178" i="2" s="1"/>
  <c r="K163" i="2"/>
  <c r="L163" i="2" s="1"/>
  <c r="K180" i="2"/>
  <c r="L180" i="2" s="1"/>
  <c r="K181" i="2"/>
  <c r="L181" i="2" s="1"/>
  <c r="K94" i="2"/>
  <c r="L94" i="2" s="1"/>
  <c r="K191" i="2"/>
  <c r="L191" i="2" s="1"/>
  <c r="K184" i="2"/>
  <c r="L184" i="2" s="1"/>
  <c r="K151" i="2"/>
  <c r="L151" i="2" s="1"/>
  <c r="K175" i="2"/>
  <c r="L175" i="2" s="1"/>
  <c r="K63" i="2"/>
  <c r="L63" i="2" s="1"/>
  <c r="K109" i="2"/>
  <c r="L109" i="2" s="1"/>
  <c r="K189" i="2"/>
  <c r="L189" i="2" s="1"/>
  <c r="K190" i="2"/>
  <c r="L190" i="2" s="1"/>
  <c r="K64" i="2"/>
  <c r="L64" i="2" s="1"/>
  <c r="K192" i="2"/>
  <c r="L192" i="2" s="1"/>
  <c r="K193" i="2"/>
  <c r="L193" i="2" s="1"/>
  <c r="K90" i="2"/>
  <c r="L90" i="2" s="1"/>
  <c r="K195" i="2"/>
  <c r="L195" i="2" s="1"/>
  <c r="K145" i="2"/>
  <c r="L145" i="2" s="1"/>
  <c r="K197" i="2"/>
  <c r="L197" i="2" s="1"/>
  <c r="K198" i="2"/>
  <c r="L198" i="2" s="1"/>
  <c r="K101" i="2"/>
  <c r="L101" i="2" s="1"/>
  <c r="K200" i="2"/>
  <c r="L200" i="2" s="1"/>
  <c r="K201" i="2"/>
  <c r="L201" i="2" s="1"/>
  <c r="K202" i="2"/>
  <c r="L202" i="2" s="1"/>
  <c r="K114" i="2"/>
  <c r="L114" i="2" s="1"/>
  <c r="K128" i="2"/>
  <c r="L128" i="2" s="1"/>
  <c r="K205" i="2"/>
  <c r="L205" i="2" s="1"/>
  <c r="K206" i="2"/>
  <c r="L206" i="2" s="1"/>
  <c r="K170" i="2"/>
  <c r="L170" i="2" s="1"/>
  <c r="K106" i="2"/>
  <c r="L106" i="2" s="1"/>
  <c r="K125" i="2"/>
  <c r="L125" i="2" s="1"/>
  <c r="K140" i="2"/>
  <c r="L140" i="2" s="1"/>
  <c r="K211" i="2"/>
  <c r="L211" i="2" s="1"/>
  <c r="K212" i="2"/>
  <c r="L212" i="2" s="1"/>
  <c r="K238" i="2"/>
  <c r="L238" i="2" s="1"/>
  <c r="K214" i="2"/>
  <c r="L214" i="2" s="1"/>
  <c r="K215" i="2"/>
  <c r="L215" i="2" s="1"/>
  <c r="K216" i="2"/>
  <c r="L216" i="2" s="1"/>
  <c r="K217" i="2"/>
  <c r="L217" i="2" s="1"/>
  <c r="K218" i="2"/>
  <c r="L218" i="2" s="1"/>
  <c r="K219" i="2"/>
  <c r="L219" i="2" s="1"/>
  <c r="K89" i="2"/>
  <c r="L89" i="2" s="1"/>
  <c r="K186" i="2"/>
  <c r="L186" i="2" s="1"/>
  <c r="K222" i="2"/>
  <c r="L222" i="2" s="1"/>
  <c r="K223" i="2"/>
  <c r="L223" i="2" s="1"/>
  <c r="K224" i="2"/>
  <c r="L224" i="2" s="1"/>
  <c r="K134" i="2"/>
  <c r="L134" i="2" s="1"/>
  <c r="K176" i="2"/>
  <c r="L176" i="2" s="1"/>
  <c r="K157" i="2"/>
  <c r="L157" i="2" s="1"/>
  <c r="K228" i="2"/>
  <c r="L228" i="2" s="1"/>
  <c r="K229" i="2"/>
  <c r="L229" i="2" s="1"/>
  <c r="K117" i="2"/>
  <c r="L117" i="2" s="1"/>
  <c r="K231" i="2"/>
  <c r="L231" i="2" s="1"/>
  <c r="K166" i="2"/>
  <c r="L166" i="2" s="1"/>
  <c r="K233" i="2"/>
  <c r="L233" i="2" s="1"/>
  <c r="K183" i="2"/>
  <c r="L183" i="2" s="1"/>
  <c r="K235" i="2"/>
  <c r="L235" i="2" s="1"/>
  <c r="K62" i="2"/>
  <c r="L62" i="2" s="1"/>
  <c r="K187" i="2"/>
  <c r="L187" i="2" s="1"/>
  <c r="K182" i="2"/>
  <c r="L182" i="2" s="1"/>
  <c r="K239" i="2"/>
  <c r="L239" i="2" s="1"/>
  <c r="K100" i="2"/>
  <c r="L100" i="2" s="1"/>
  <c r="K59" i="2"/>
  <c r="L59" i="2" s="1"/>
  <c r="K177" i="2"/>
  <c r="L177" i="2" s="1"/>
  <c r="K243" i="2"/>
  <c r="L243" i="2" s="1"/>
  <c r="K159" i="2"/>
  <c r="L159" i="2" s="1"/>
  <c r="K179" i="2"/>
  <c r="L179" i="2" s="1"/>
  <c r="K172" i="2"/>
  <c r="L172" i="2" s="1"/>
  <c r="K2" i="2" l="1"/>
  <c r="L2" i="2" s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F1" i="1"/>
  <c r="B49" i="1" s="1"/>
  <c r="E1" i="1"/>
  <c r="B11" i="1" s="1"/>
  <c r="B61" i="1" l="1"/>
  <c r="B53" i="1"/>
  <c r="B45" i="1"/>
  <c r="B41" i="1"/>
  <c r="B37" i="1"/>
  <c r="B33" i="1"/>
  <c r="B29" i="1"/>
  <c r="B25" i="1"/>
  <c r="B21" i="1"/>
  <c r="B17" i="1"/>
  <c r="B13" i="1"/>
  <c r="B64" i="1"/>
  <c r="B60" i="1"/>
  <c r="B56" i="1"/>
  <c r="B52" i="1"/>
  <c r="B48" i="1"/>
  <c r="B44" i="1"/>
  <c r="B40" i="1"/>
  <c r="B36" i="1"/>
  <c r="B32" i="1"/>
  <c r="B28" i="1"/>
  <c r="B24" i="1"/>
  <c r="B20" i="1"/>
  <c r="B16" i="1"/>
  <c r="B12" i="1"/>
  <c r="B63" i="1"/>
  <c r="B59" i="1"/>
  <c r="B55" i="1"/>
  <c r="B51" i="1"/>
  <c r="B47" i="1"/>
  <c r="B43" i="1"/>
  <c r="B39" i="1"/>
  <c r="B35" i="1"/>
  <c r="B31" i="1"/>
  <c r="B27" i="1"/>
  <c r="B23" i="1"/>
  <c r="B19" i="1"/>
  <c r="B15" i="1"/>
  <c r="B57" i="1"/>
  <c r="B2" i="1"/>
  <c r="B62" i="1"/>
  <c r="B58" i="1"/>
  <c r="B54" i="1"/>
  <c r="B50" i="1"/>
  <c r="B46" i="1"/>
  <c r="B42" i="1"/>
  <c r="B38" i="1"/>
  <c r="B34" i="1"/>
  <c r="B30" i="1"/>
  <c r="B26" i="1"/>
  <c r="B22" i="1"/>
  <c r="B18" i="1"/>
  <c r="B14" i="1"/>
  <c r="B10" i="1"/>
  <c r="B6" i="1"/>
  <c r="B9" i="1"/>
  <c r="B5" i="1"/>
  <c r="B8" i="1"/>
  <c r="B4" i="1"/>
  <c r="B7" i="1"/>
  <c r="B3" i="1"/>
</calcChain>
</file>

<file path=xl/sharedStrings.xml><?xml version="1.0" encoding="utf-8"?>
<sst xmlns="http://schemas.openxmlformats.org/spreadsheetml/2006/main" count="1867" uniqueCount="607">
  <si>
    <t>RSX5000</t>
  </si>
  <si>
    <t>TSX</t>
  </si>
  <si>
    <t>170TSX</t>
  </si>
  <si>
    <t>414TSX</t>
  </si>
  <si>
    <t>165TSX</t>
  </si>
  <si>
    <t>412TSX</t>
  </si>
  <si>
    <t>287TSX</t>
  </si>
  <si>
    <t>303TSX</t>
  </si>
  <si>
    <t>010TSX</t>
  </si>
  <si>
    <t>164TSX</t>
  </si>
  <si>
    <t>042TSX</t>
  </si>
  <si>
    <t>103TSX</t>
  </si>
  <si>
    <t>009TSX</t>
  </si>
  <si>
    <t>413TSX</t>
  </si>
  <si>
    <t>209TSX</t>
  </si>
  <si>
    <t>284TSX</t>
  </si>
  <si>
    <t>038TSX</t>
  </si>
  <si>
    <t>275TSX</t>
  </si>
  <si>
    <t>288TSX</t>
  </si>
  <si>
    <t>309TSX</t>
  </si>
  <si>
    <t>317TSX</t>
  </si>
  <si>
    <t>035TSX</t>
  </si>
  <si>
    <t>311TSX</t>
  </si>
  <si>
    <t>392TSX</t>
  </si>
  <si>
    <t>007TSX</t>
  </si>
  <si>
    <t>394TSX</t>
  </si>
  <si>
    <t>283TSX</t>
  </si>
  <si>
    <t>026TSX</t>
  </si>
  <si>
    <t>221TSX</t>
  </si>
  <si>
    <t>325TSX</t>
  </si>
  <si>
    <t>270TSX</t>
  </si>
  <si>
    <t>323TSX</t>
  </si>
  <si>
    <t>027TSX</t>
  </si>
  <si>
    <t>039TSX</t>
  </si>
  <si>
    <t>148TSX</t>
  </si>
  <si>
    <t>004TSX</t>
  </si>
  <si>
    <t>302TSX</t>
  </si>
  <si>
    <t>171TSX</t>
  </si>
  <si>
    <t>040TSX</t>
  </si>
  <si>
    <t>308TSX</t>
  </si>
  <si>
    <t>168TSX</t>
  </si>
  <si>
    <t>391TSX</t>
  </si>
  <si>
    <t>248TSX</t>
  </si>
  <si>
    <t>246TSX</t>
  </si>
  <si>
    <t>247TSX</t>
  </si>
  <si>
    <t>192TSX</t>
  </si>
  <si>
    <t>068TSX</t>
  </si>
  <si>
    <t>188TSX</t>
  </si>
  <si>
    <t>240TSX</t>
  </si>
  <si>
    <t>LSI3-3F</t>
  </si>
  <si>
    <t>DMX</t>
  </si>
  <si>
    <t>ICT8000</t>
  </si>
  <si>
    <t>ICT2000</t>
  </si>
  <si>
    <t>ICT2000HV</t>
  </si>
  <si>
    <t>ICT2011</t>
  </si>
  <si>
    <t>ICT1800</t>
  </si>
  <si>
    <t>ICT7100</t>
  </si>
  <si>
    <t>ICT9081</t>
  </si>
  <si>
    <t>OS9500</t>
  </si>
  <si>
    <t>TN</t>
  </si>
  <si>
    <t>TDX</t>
  </si>
  <si>
    <t>TX</t>
  </si>
  <si>
    <t>TZ</t>
  </si>
  <si>
    <t>TW</t>
  </si>
  <si>
    <t>TR</t>
  </si>
  <si>
    <t>H</t>
  </si>
  <si>
    <t>HS</t>
  </si>
  <si>
    <t>052TDX</t>
  </si>
  <si>
    <t>069TDX</t>
  </si>
  <si>
    <t>060TDX</t>
  </si>
  <si>
    <t>356TW</t>
  </si>
  <si>
    <t>432TW</t>
  </si>
  <si>
    <t>328TW</t>
  </si>
  <si>
    <t>392TW</t>
  </si>
  <si>
    <t>413TW</t>
  </si>
  <si>
    <t>193TW</t>
  </si>
  <si>
    <t>118TW</t>
  </si>
  <si>
    <t>354TW</t>
  </si>
  <si>
    <t>115TW</t>
  </si>
  <si>
    <t>391TW</t>
  </si>
  <si>
    <t>064TW</t>
  </si>
  <si>
    <t>369TW</t>
  </si>
  <si>
    <t>292TW</t>
  </si>
  <si>
    <t>358TW</t>
  </si>
  <si>
    <t>032TW</t>
  </si>
  <si>
    <t>018TW</t>
  </si>
  <si>
    <t>367TW</t>
  </si>
  <si>
    <t>363TW</t>
  </si>
  <si>
    <t>063TW</t>
  </si>
  <si>
    <t>436TW</t>
  </si>
  <si>
    <t>433TW</t>
  </si>
  <si>
    <t>138TW</t>
  </si>
  <si>
    <t>TESTER NO.</t>
  </si>
  <si>
    <t>403TX</t>
  </si>
  <si>
    <t>331TX</t>
  </si>
  <si>
    <t>314TX</t>
  </si>
  <si>
    <t>009TX</t>
  </si>
  <si>
    <t>340TX</t>
  </si>
  <si>
    <t>326TX</t>
  </si>
  <si>
    <t>286TX</t>
  </si>
  <si>
    <t>224TX</t>
  </si>
  <si>
    <t>417TX</t>
  </si>
  <si>
    <t>155TX</t>
  </si>
  <si>
    <t>274TX</t>
  </si>
  <si>
    <t>121TX</t>
  </si>
  <si>
    <t>248TX</t>
  </si>
  <si>
    <t>010TX</t>
  </si>
  <si>
    <t>150TX</t>
  </si>
  <si>
    <t>140TX</t>
  </si>
  <si>
    <t>073TX</t>
  </si>
  <si>
    <t>305TX</t>
  </si>
  <si>
    <t>144TX</t>
  </si>
  <si>
    <t>141TX</t>
  </si>
  <si>
    <t>081TX</t>
  </si>
  <si>
    <t>243TX</t>
  </si>
  <si>
    <t>427TX</t>
  </si>
  <si>
    <t>392TX</t>
  </si>
  <si>
    <t>102TX</t>
  </si>
  <si>
    <t>126TX</t>
  </si>
  <si>
    <t>260TX</t>
  </si>
  <si>
    <t>393TX</t>
  </si>
  <si>
    <t>354TX</t>
  </si>
  <si>
    <t>101TX</t>
  </si>
  <si>
    <t>241TX</t>
  </si>
  <si>
    <t>046TX</t>
  </si>
  <si>
    <t>302TX</t>
  </si>
  <si>
    <t>086TX</t>
  </si>
  <si>
    <t>247TX</t>
  </si>
  <si>
    <t>408TX</t>
  </si>
  <si>
    <t>187TX</t>
  </si>
  <si>
    <t>290TX</t>
  </si>
  <si>
    <t>092TX</t>
  </si>
  <si>
    <t>279TX</t>
  </si>
  <si>
    <t>022TX</t>
  </si>
  <si>
    <t>123TX</t>
  </si>
  <si>
    <t>426TX</t>
  </si>
  <si>
    <t>093TX</t>
  </si>
  <si>
    <t>149TX</t>
  </si>
  <si>
    <t>117TX</t>
  </si>
  <si>
    <t>395TX</t>
  </si>
  <si>
    <t>353TX</t>
  </si>
  <si>
    <t>261TX</t>
  </si>
  <si>
    <t>209TX</t>
  </si>
  <si>
    <t>143TX</t>
  </si>
  <si>
    <t>405TX</t>
  </si>
  <si>
    <t>041TX</t>
  </si>
  <si>
    <t/>
  </si>
  <si>
    <t>H116TX</t>
  </si>
  <si>
    <t>H084TX</t>
  </si>
  <si>
    <t>H217TX</t>
  </si>
  <si>
    <t>H129TX</t>
  </si>
  <si>
    <t>H218TX</t>
  </si>
  <si>
    <t>H128TX</t>
  </si>
  <si>
    <t>H208TX</t>
  </si>
  <si>
    <t>H220TX</t>
  </si>
  <si>
    <t>H216TX</t>
  </si>
  <si>
    <t>H138TX</t>
  </si>
  <si>
    <t>H358TX</t>
  </si>
  <si>
    <t>H088TX</t>
  </si>
  <si>
    <t>H132TX</t>
  </si>
  <si>
    <t>H043TX</t>
  </si>
  <si>
    <t>HS317TX</t>
  </si>
  <si>
    <t>HS320TX</t>
  </si>
  <si>
    <t>HS184TX</t>
  </si>
  <si>
    <t>HS323TX</t>
  </si>
  <si>
    <t>HS349TX</t>
  </si>
  <si>
    <t>HS344TX</t>
  </si>
  <si>
    <t>HS267TX</t>
  </si>
  <si>
    <t>HS203TX</t>
  </si>
  <si>
    <t>890TN</t>
  </si>
  <si>
    <t>220TN</t>
  </si>
  <si>
    <t>872TN</t>
  </si>
  <si>
    <t>815TN</t>
  </si>
  <si>
    <t>426TN</t>
  </si>
  <si>
    <t>464TN</t>
  </si>
  <si>
    <t>910TN</t>
  </si>
  <si>
    <t>826TN</t>
  </si>
  <si>
    <t>229TN</t>
  </si>
  <si>
    <t>790TN</t>
  </si>
  <si>
    <t>502TN</t>
  </si>
  <si>
    <t>509TN</t>
  </si>
  <si>
    <t>121TN</t>
  </si>
  <si>
    <t>324TN</t>
  </si>
  <si>
    <t>971TN</t>
  </si>
  <si>
    <t>913TN</t>
  </si>
  <si>
    <t>281TN</t>
  </si>
  <si>
    <t>1071TN</t>
  </si>
  <si>
    <t>690TN</t>
  </si>
  <si>
    <t>506TN</t>
  </si>
  <si>
    <t>177TN</t>
  </si>
  <si>
    <t>928TN</t>
  </si>
  <si>
    <t>427TN</t>
  </si>
  <si>
    <t>508TN</t>
  </si>
  <si>
    <t>650TN</t>
  </si>
  <si>
    <t>756TN</t>
  </si>
  <si>
    <t>831TN</t>
  </si>
  <si>
    <t>711TN</t>
  </si>
  <si>
    <t>871TN</t>
  </si>
  <si>
    <t>846TN</t>
  </si>
  <si>
    <t>1069TN</t>
  </si>
  <si>
    <t>1005TN</t>
  </si>
  <si>
    <t>866TN</t>
  </si>
  <si>
    <t>228TN</t>
  </si>
  <si>
    <t>1068TN</t>
  </si>
  <si>
    <t>554TN</t>
  </si>
  <si>
    <t>819TN</t>
  </si>
  <si>
    <t>861TN</t>
  </si>
  <si>
    <t>759TN</t>
  </si>
  <si>
    <t>505TN</t>
  </si>
  <si>
    <t>911TN</t>
  </si>
  <si>
    <t>572TN</t>
  </si>
  <si>
    <t>800TN</t>
  </si>
  <si>
    <t>087TN</t>
  </si>
  <si>
    <t>359TN</t>
  </si>
  <si>
    <t>497TN</t>
  </si>
  <si>
    <t>984TN</t>
  </si>
  <si>
    <t>686TN</t>
  </si>
  <si>
    <t>595TN</t>
  </si>
  <si>
    <t>181TN</t>
  </si>
  <si>
    <t>817TN</t>
  </si>
  <si>
    <t>422TN</t>
  </si>
  <si>
    <t>537TN</t>
  </si>
  <si>
    <t>538TN</t>
  </si>
  <si>
    <t>027TN</t>
  </si>
  <si>
    <t>664TN</t>
  </si>
  <si>
    <t>039TN</t>
  </si>
  <si>
    <t>590TN</t>
  </si>
  <si>
    <t>316TN</t>
  </si>
  <si>
    <t>234TN</t>
  </si>
  <si>
    <t>873TN</t>
  </si>
  <si>
    <t>853TN</t>
  </si>
  <si>
    <t>292TN</t>
  </si>
  <si>
    <t>001TZ</t>
  </si>
  <si>
    <t>025TZ</t>
  </si>
  <si>
    <t>112TZ</t>
  </si>
  <si>
    <t>136TZ</t>
  </si>
  <si>
    <t>078TZ</t>
  </si>
  <si>
    <t>RNEU-02T-0267</t>
  </si>
  <si>
    <t>550TN</t>
  </si>
  <si>
    <t>EDS</t>
  </si>
  <si>
    <t>SERIAL NO.</t>
  </si>
  <si>
    <t>ACTUAL FLOOR</t>
  </si>
  <si>
    <t>CALIBRATOR</t>
  </si>
  <si>
    <t>NEW REGISTRATION</t>
  </si>
  <si>
    <t>INSTRUMENT NAME</t>
  </si>
  <si>
    <t xml:space="preserve">TYPE </t>
  </si>
  <si>
    <t>MANUFACTURER</t>
  </si>
  <si>
    <t>FT TESTER</t>
  </si>
  <si>
    <t>ROHM</t>
  </si>
  <si>
    <t>R.DAQUIADO</t>
  </si>
  <si>
    <t>R.R.BEDICO</t>
  </si>
  <si>
    <t>RNEU-02T-0009</t>
  </si>
  <si>
    <t>K.J.CAMELOTE</t>
  </si>
  <si>
    <t>J.JADORMEO</t>
  </si>
  <si>
    <t>M.CAUTIVER</t>
  </si>
  <si>
    <t>J.A.ACHANZAR</t>
  </si>
  <si>
    <t>RNEU-02T-0027</t>
  </si>
  <si>
    <t>680TN</t>
  </si>
  <si>
    <t>RNEU-02T-0029</t>
  </si>
  <si>
    <t>H.MADDUMBA</t>
  </si>
  <si>
    <t>M.RAQUEL</t>
  </si>
  <si>
    <t>RNEU-02T-0050</t>
  </si>
  <si>
    <t>D.FABELLA</t>
  </si>
  <si>
    <t>RNEU-02T-0064</t>
  </si>
  <si>
    <t>303TN</t>
  </si>
  <si>
    <t>RNEU-02T-0068</t>
  </si>
  <si>
    <t>003TN</t>
  </si>
  <si>
    <t>RNEU-02T-0085</t>
  </si>
  <si>
    <t>419TN</t>
  </si>
  <si>
    <t>RNEU-02T-0087</t>
  </si>
  <si>
    <t>RNEU-02T-0121</t>
  </si>
  <si>
    <t>P.NUESTRO</t>
  </si>
  <si>
    <t>RNEU-02T-0156</t>
  </si>
  <si>
    <t>RNEU-02T-0159</t>
  </si>
  <si>
    <t>RNEU-02T-0176</t>
  </si>
  <si>
    <t>J.BACAY</t>
  </si>
  <si>
    <t>RNEU-02T-0294</t>
  </si>
  <si>
    <t>685TN</t>
  </si>
  <si>
    <t>RNEU-02T-0300</t>
  </si>
  <si>
    <t>RNEU-02T-0302</t>
  </si>
  <si>
    <t>RNEU-02T-0305</t>
  </si>
  <si>
    <t>RNEU-02T-0310</t>
  </si>
  <si>
    <t>RNEU-02T-0311</t>
  </si>
  <si>
    <t>RNEU-02T-0314</t>
  </si>
  <si>
    <t>RNEU-02T-0315</t>
  </si>
  <si>
    <t>549TN</t>
  </si>
  <si>
    <t>RNEU-02T-0316</t>
  </si>
  <si>
    <t>RNEU-02T-0321</t>
  </si>
  <si>
    <t>242TN</t>
  </si>
  <si>
    <t>RNEU-02T-0325</t>
  </si>
  <si>
    <t>381TN</t>
  </si>
  <si>
    <t>RNEU-02T-0328</t>
  </si>
  <si>
    <t>RNEU-02T-0333</t>
  </si>
  <si>
    <t>RNEU-02T-0338</t>
  </si>
  <si>
    <t>RNEU-02T-0340</t>
  </si>
  <si>
    <t>RNEU-02T-0341</t>
  </si>
  <si>
    <t>RNEU-02T-0342</t>
  </si>
  <si>
    <t>RNEU-02T-0346</t>
  </si>
  <si>
    <t>RNEU-02T-0347</t>
  </si>
  <si>
    <t>RNEU-02T-0348</t>
  </si>
  <si>
    <t>RNEU-02T-0349</t>
  </si>
  <si>
    <t>539TN</t>
  </si>
  <si>
    <t>RNEU-02T-0350</t>
  </si>
  <si>
    <t>420TN</t>
  </si>
  <si>
    <t>RNEU-02T-0353</t>
  </si>
  <si>
    <t>RNEU-02T-0355</t>
  </si>
  <si>
    <t>RNEU-02T-0359</t>
  </si>
  <si>
    <t>RNEU-02T-0362</t>
  </si>
  <si>
    <t>RNEU-02T-0365</t>
  </si>
  <si>
    <t>RNEU-02T-0368</t>
  </si>
  <si>
    <t>RNEU-02T-0370</t>
  </si>
  <si>
    <t>RNEU-02T-0371</t>
  </si>
  <si>
    <t>1009TN</t>
  </si>
  <si>
    <t>RNEU-02T-0372</t>
  </si>
  <si>
    <t>RNEU-02T-0374</t>
  </si>
  <si>
    <t>RNEU-02T-0377</t>
  </si>
  <si>
    <t>167TN</t>
  </si>
  <si>
    <t>RNEU-02T-0378</t>
  </si>
  <si>
    <t>RNEU-02T-0380</t>
  </si>
  <si>
    <t>RNEU-02T-0381</t>
  </si>
  <si>
    <t>RNEU-02T-0388</t>
  </si>
  <si>
    <t>RNEU-02T-0396</t>
  </si>
  <si>
    <t>RNEU-02T-0400</t>
  </si>
  <si>
    <t>RNEU-02T-0402</t>
  </si>
  <si>
    <t>RNEU-02T-0403</t>
  </si>
  <si>
    <t>002TN</t>
  </si>
  <si>
    <t>RNEU-02T-0408</t>
  </si>
  <si>
    <t>083TN</t>
  </si>
  <si>
    <t>RNEU-02T-0412</t>
  </si>
  <si>
    <t>RNEU-02T-0415</t>
  </si>
  <si>
    <t>RNEU-02T-0419</t>
  </si>
  <si>
    <t>376TN</t>
  </si>
  <si>
    <t>RNEU-02T-0422</t>
  </si>
  <si>
    <t>RNEU-02T-0423</t>
  </si>
  <si>
    <t>RNEU-02T-0424</t>
  </si>
  <si>
    <t>513TN</t>
  </si>
  <si>
    <t>RNEU-02T-0426</t>
  </si>
  <si>
    <t>RNEU-02T-0429</t>
  </si>
  <si>
    <t>RNEU-02T-0433</t>
  </si>
  <si>
    <t>RNEU-02T-0438</t>
  </si>
  <si>
    <t>RNEU-02T-0442</t>
  </si>
  <si>
    <t>RNEU-02T-0444</t>
  </si>
  <si>
    <t>378TN</t>
  </si>
  <si>
    <t>RNEU-02T-0446</t>
  </si>
  <si>
    <t>RNEU-02T-0447</t>
  </si>
  <si>
    <t>RNEU-02T-0448</t>
  </si>
  <si>
    <t>RNEU-02T-0449</t>
  </si>
  <si>
    <t>RNEU-02T-0453</t>
  </si>
  <si>
    <t>044TN</t>
  </si>
  <si>
    <t>RNEU-02T-0454</t>
  </si>
  <si>
    <t>RNEU-02T-0457</t>
  </si>
  <si>
    <t>803TN</t>
  </si>
  <si>
    <t>RNEU-02T-0458</t>
  </si>
  <si>
    <t>805TN</t>
  </si>
  <si>
    <t>RNEU-02T-0459</t>
  </si>
  <si>
    <t>808TN</t>
  </si>
  <si>
    <t>RNEU-02T-0460</t>
  </si>
  <si>
    <t>360TN</t>
  </si>
  <si>
    <t>RNEU-02T-0461</t>
  </si>
  <si>
    <t>RNEU-02T-0462</t>
  </si>
  <si>
    <t>820TN</t>
  </si>
  <si>
    <t>RNEU-02T-0463</t>
  </si>
  <si>
    <t>887TN</t>
  </si>
  <si>
    <t>RNEU-02T-0468</t>
  </si>
  <si>
    <t>822TN</t>
  </si>
  <si>
    <t>RNEU-02T-0469</t>
  </si>
  <si>
    <t>821TN</t>
  </si>
  <si>
    <t>RNEU-02T-0470</t>
  </si>
  <si>
    <t>823TN</t>
  </si>
  <si>
    <t>RNEU-02T-0471</t>
  </si>
  <si>
    <t>RNEU-02T-0472</t>
  </si>
  <si>
    <t>RNEU-02T-0473</t>
  </si>
  <si>
    <t>RNEU-02T-0474</t>
  </si>
  <si>
    <t>253TN</t>
  </si>
  <si>
    <t>RNEU-02T-0475</t>
  </si>
  <si>
    <t>RNEU-02T-0481</t>
  </si>
  <si>
    <t>RNEU-02T-0483</t>
  </si>
  <si>
    <t>RNEU-02T-0484</t>
  </si>
  <si>
    <t>RNEU-02T-0486</t>
  </si>
  <si>
    <t>RNEU-02T-0488</t>
  </si>
  <si>
    <t>RNEU-02T-0490</t>
  </si>
  <si>
    <t>RNEU-02T-0495</t>
  </si>
  <si>
    <t>RNEU-02T-0497</t>
  </si>
  <si>
    <t>RNEU-02T-0501</t>
  </si>
  <si>
    <t>RNEU-02T-0508</t>
  </si>
  <si>
    <t>RNEU-02T-0509</t>
  </si>
  <si>
    <t>RNEU-02T-0520</t>
  </si>
  <si>
    <t>RNEU-02T-0521</t>
  </si>
  <si>
    <t>RNEU-02T-0532</t>
  </si>
  <si>
    <t>RNEU-02T-0534</t>
  </si>
  <si>
    <t>RNEU-02T-0536</t>
  </si>
  <si>
    <t>RNEU-02T-0538</t>
  </si>
  <si>
    <t>RNEU-02T-0540</t>
  </si>
  <si>
    <t>RNEU-02T-0543</t>
  </si>
  <si>
    <t>RNEU-02T-0555</t>
  </si>
  <si>
    <t>RNEU-02T-0564</t>
  </si>
  <si>
    <t>RNEU-02T-0566</t>
  </si>
  <si>
    <t>RNEU-02T-0571</t>
  </si>
  <si>
    <t>RNEU-02T-0572</t>
  </si>
  <si>
    <t>RNEU-02T-0575</t>
  </si>
  <si>
    <t>RNEU-02T-0576</t>
  </si>
  <si>
    <t>RNEU-02T-0579</t>
  </si>
  <si>
    <t>RNEU-02T-0588</t>
  </si>
  <si>
    <t>RNEU-02T-0589</t>
  </si>
  <si>
    <t>RNEU-02T-0591</t>
  </si>
  <si>
    <t>RNEU-02T-0596</t>
  </si>
  <si>
    <t>RNEU-02T-0600</t>
  </si>
  <si>
    <t>RNEU-02T-0611</t>
  </si>
  <si>
    <t>RNEU-02T-0614</t>
  </si>
  <si>
    <t>RNEU-02T-0615</t>
  </si>
  <si>
    <t>RNEU-02T-0638</t>
  </si>
  <si>
    <t>RNEU-02T-0648</t>
  </si>
  <si>
    <t>RNEU-02T-0663</t>
  </si>
  <si>
    <t>RNEU-02T-0693</t>
  </si>
  <si>
    <t>RNEU-02T-0694</t>
  </si>
  <si>
    <t>RNEU-02T-0697</t>
  </si>
  <si>
    <t>RNEU-02T-0698</t>
  </si>
  <si>
    <t>RNEU-02T-0699</t>
  </si>
  <si>
    <t>RNEU-02T-0701</t>
  </si>
  <si>
    <t>RNEU-02T-0704</t>
  </si>
  <si>
    <t>RNEU-02T-0707</t>
  </si>
  <si>
    <t>RNEU-02T-0709</t>
  </si>
  <si>
    <t>RNEU-02T-0710</t>
  </si>
  <si>
    <t>RNEU-02T-0711</t>
  </si>
  <si>
    <t>RNEU-02T-0712</t>
  </si>
  <si>
    <t>RNEU-02T-0714</t>
  </si>
  <si>
    <t>RNEU-02T-0716</t>
  </si>
  <si>
    <t>RNEU-02T-0751</t>
  </si>
  <si>
    <t>RNEU-02T-0752</t>
  </si>
  <si>
    <t>RNEU-02T-0753</t>
  </si>
  <si>
    <t>RNEU-02T-0757</t>
  </si>
  <si>
    <t>RNEU-02T-0760</t>
  </si>
  <si>
    <t>RNEU-02T-0763</t>
  </si>
  <si>
    <t>RNEU-02T-0829</t>
  </si>
  <si>
    <t>RNEU-02T-0831</t>
  </si>
  <si>
    <t>RNEU-02T-0847</t>
  </si>
  <si>
    <t>RNEU-02T-0848</t>
  </si>
  <si>
    <t>RNEU-02T-0859</t>
  </si>
  <si>
    <t>RNEU-02T-0891</t>
  </si>
  <si>
    <t>RNEU-02T-0946</t>
  </si>
  <si>
    <t>RNEU-02T-0981</t>
  </si>
  <si>
    <t>RNEU-02T-0982</t>
  </si>
  <si>
    <t>RNEU-02T-0983</t>
  </si>
  <si>
    <t>RNEU-02T-0984</t>
  </si>
  <si>
    <t>RNEU-02T-0988</t>
  </si>
  <si>
    <t>RNEU-02T-0989</t>
  </si>
  <si>
    <t>RNEU-02T-0999</t>
  </si>
  <si>
    <t>RNEU-02T-1001</t>
  </si>
  <si>
    <t>RNEU-02T-1003</t>
  </si>
  <si>
    <t>RNEU-02T-1005</t>
  </si>
  <si>
    <t>RNEU-02T-1008</t>
  </si>
  <si>
    <t>RNEU-02T-1014</t>
  </si>
  <si>
    <t>RNEU-02T-1113</t>
  </si>
  <si>
    <t>RNEU-02T-1117</t>
  </si>
  <si>
    <t>RNEU-02T-1119</t>
  </si>
  <si>
    <t>RNEU-02T-1121</t>
  </si>
  <si>
    <t>RNEU-02T-1125</t>
  </si>
  <si>
    <t>RNEU-02T-1145</t>
  </si>
  <si>
    <t>RNEU-02T-1146</t>
  </si>
  <si>
    <t>RNEU-02T-1152</t>
  </si>
  <si>
    <t>RNEU-02T-1157</t>
  </si>
  <si>
    <t>RNEU-02T-1159</t>
  </si>
  <si>
    <t>RNEU-02T-1160</t>
  </si>
  <si>
    <t>RNEU-02T-1164</t>
  </si>
  <si>
    <t>RNEU-02T-1168</t>
  </si>
  <si>
    <t>RNEU-02T-1170</t>
  </si>
  <si>
    <t>SPANDNIX</t>
  </si>
  <si>
    <t>RNEU-02T-1251</t>
  </si>
  <si>
    <t>RNEU-02T-1256</t>
  </si>
  <si>
    <t>RNEU-02T-1257</t>
  </si>
  <si>
    <t>RNEU-02T-1284</t>
  </si>
  <si>
    <t>RNEU-02T-1288</t>
  </si>
  <si>
    <t>RNEU-02T-1290</t>
  </si>
  <si>
    <t>RNEU-02T-1291</t>
  </si>
  <si>
    <t>RNEU-02T-1295</t>
  </si>
  <si>
    <t>RNEU-02T-1296</t>
  </si>
  <si>
    <t>RNEU-02T-1297</t>
  </si>
  <si>
    <t>RNEU-02T-1298</t>
  </si>
  <si>
    <t>RNEU-02T-1299</t>
  </si>
  <si>
    <t>RNEU-02T-1335</t>
  </si>
  <si>
    <t>RNEU-02T-1340</t>
  </si>
  <si>
    <t>RNEU-02T-1342</t>
  </si>
  <si>
    <t>RNEU-02T-1353</t>
  </si>
  <si>
    <t>RNEU-02T-1410</t>
  </si>
  <si>
    <t>RNEU-02T-1411</t>
  </si>
  <si>
    <t>RNEU-02T-1412</t>
  </si>
  <si>
    <t>RNEU-02T-1414</t>
  </si>
  <si>
    <t>RNEU-02T-1424</t>
  </si>
  <si>
    <t>RNEU-02T-1429</t>
  </si>
  <si>
    <t>RNEU-02T-1430</t>
  </si>
  <si>
    <t>RNEU-02T-1431</t>
  </si>
  <si>
    <t>RNEU-02T-1445</t>
  </si>
  <si>
    <t>RNEU-02T-1449</t>
  </si>
  <si>
    <t>RNEU-02T-1468</t>
  </si>
  <si>
    <t>RNEU-02T-1469</t>
  </si>
  <si>
    <t>RNEU-02T-1471</t>
  </si>
  <si>
    <t>RNEU-02T-1473</t>
  </si>
  <si>
    <t>RNEU-02T-1474</t>
  </si>
  <si>
    <t>RNEU-02T-1475</t>
  </si>
  <si>
    <t>RNEU-02T-1477</t>
  </si>
  <si>
    <t>RNEU-02T-1484</t>
  </si>
  <si>
    <t>RNEU-02T-1506</t>
  </si>
  <si>
    <t>RNEU-02T-1514</t>
  </si>
  <si>
    <t>RNEU-02T-1516</t>
  </si>
  <si>
    <t>RNEU-02T-1518</t>
  </si>
  <si>
    <t>RNEU-02T-1519</t>
  </si>
  <si>
    <t>RNEU-02T-1540</t>
  </si>
  <si>
    <t>RNEU-02T-1574</t>
  </si>
  <si>
    <t>RNEU-02T-1575</t>
  </si>
  <si>
    <t>RNEU-02T-1576</t>
  </si>
  <si>
    <t>RNEU-02T-1577</t>
  </si>
  <si>
    <t>RNEU-02T-1578</t>
  </si>
  <si>
    <t>RNEU-02T-1586</t>
  </si>
  <si>
    <t>RNEU-02T-1587</t>
  </si>
  <si>
    <t>RNEU-02T-1588</t>
  </si>
  <si>
    <t>DIAMOND TESTER</t>
  </si>
  <si>
    <t>EXCERRA</t>
  </si>
  <si>
    <t>RNEU-02T-1591</t>
  </si>
  <si>
    <t>RNEU-02T-1592</t>
  </si>
  <si>
    <t>RNEU-02T-1599</t>
  </si>
  <si>
    <t>RNEU-02T-1629</t>
  </si>
  <si>
    <t>RNEU-02T-1631</t>
  </si>
  <si>
    <t>RNEU-02T-1639</t>
  </si>
  <si>
    <t>RNEU-02T-1640</t>
  </si>
  <si>
    <t>RNEU-02T-1672</t>
  </si>
  <si>
    <t>RNEU-02T-1675</t>
  </si>
  <si>
    <t>RNEU-02T-1676</t>
  </si>
  <si>
    <t>RNEU-02T-1691</t>
  </si>
  <si>
    <t>RNEU-02T-1692</t>
  </si>
  <si>
    <t>RNEU-02T-1693</t>
  </si>
  <si>
    <t>CALIBRATION DATE</t>
  </si>
  <si>
    <t>STATUS</t>
  </si>
  <si>
    <t>DUE</t>
  </si>
  <si>
    <r>
      <t xml:space="preserve">        CALIBRATION TEST RECORD </t>
    </r>
    <r>
      <rPr>
        <b/>
        <sz val="12"/>
        <rFont val="ＭＳ Ｐ明朝"/>
        <family val="1"/>
        <charset val="128"/>
      </rPr>
      <t>（</t>
    </r>
    <r>
      <rPr>
        <b/>
        <sz val="12"/>
        <rFont val="Arial"/>
        <family val="2"/>
      </rPr>
      <t>1/1</t>
    </r>
    <r>
      <rPr>
        <b/>
        <sz val="12"/>
        <rFont val="ＭＳ Ｐ明朝"/>
        <family val="1"/>
        <charset val="128"/>
      </rPr>
      <t>）</t>
    </r>
  </si>
  <si>
    <t>Executing Department</t>
    <phoneticPr fontId="2"/>
  </si>
  <si>
    <t>QA Division</t>
    <phoneticPr fontId="0"/>
  </si>
  <si>
    <t>Inspected By</t>
    <phoneticPr fontId="2"/>
  </si>
  <si>
    <t>Checked By</t>
    <phoneticPr fontId="2"/>
  </si>
  <si>
    <t>Approved By</t>
    <phoneticPr fontId="0"/>
  </si>
  <si>
    <t>Test Conducted by  (In-house calibration)</t>
    <phoneticPr fontId="0"/>
  </si>
  <si>
    <t>T.E.</t>
  </si>
  <si>
    <t>Requesting Person</t>
    <phoneticPr fontId="2"/>
  </si>
  <si>
    <t>RAFAEL CRUCERO</t>
  </si>
  <si>
    <t>Registration No.</t>
    <phoneticPr fontId="2"/>
  </si>
  <si>
    <t>Name of Instrument</t>
    <phoneticPr fontId="2"/>
  </si>
  <si>
    <t>NICOMEDES PERICO</t>
  </si>
  <si>
    <t>Type  /  Maker</t>
    <phoneticPr fontId="2"/>
  </si>
  <si>
    <t>Serial No.</t>
    <phoneticPr fontId="2"/>
  </si>
  <si>
    <t>WILFREDO QUIBAN</t>
  </si>
  <si>
    <t>Date of Inspection</t>
    <phoneticPr fontId="2"/>
  </si>
  <si>
    <t>Temperature &amp; Humidity</t>
    <phoneticPr fontId="2"/>
  </si>
  <si>
    <t>℃</t>
  </si>
  <si>
    <t>％</t>
  </si>
  <si>
    <t>RANILO AURE</t>
  </si>
  <si>
    <t>ANGELO DE LEON</t>
  </si>
  <si>
    <t>External / Internal Condition</t>
    <phoneticPr fontId="2"/>
  </si>
  <si>
    <t>Good     /     Abnormal</t>
    <phoneticPr fontId="0"/>
  </si>
  <si>
    <t>Abnormal Condition</t>
    <phoneticPr fontId="0"/>
  </si>
  <si>
    <t>The above measuring instrument has been calibrated in accordance with Control Rules of Instruments, and</t>
    <phoneticPr fontId="2"/>
  </si>
  <si>
    <t>The result of testing and inspection conducted during the calibration work satisfy the required specifications.</t>
    <phoneticPr fontId="2"/>
  </si>
  <si>
    <t xml:space="preserve"> </t>
  </si>
  <si>
    <t>The standard instrument used during the calibration has the traceability to the national standard.</t>
    <phoneticPr fontId="2"/>
  </si>
  <si>
    <t>Standard /  Semi - Standard Instrument Used in Calibration</t>
    <phoneticPr fontId="2"/>
  </si>
  <si>
    <t>Registration Number</t>
    <phoneticPr fontId="2"/>
  </si>
  <si>
    <t>Type</t>
    <phoneticPr fontId="2"/>
  </si>
  <si>
    <t>1</t>
    <phoneticPr fontId="0"/>
  </si>
  <si>
    <t>RCES-02T-0003</t>
  </si>
  <si>
    <t>TESTER DIAGNOSTIC BOX</t>
  </si>
  <si>
    <t>C-18</t>
  </si>
  <si>
    <t>2</t>
    <phoneticPr fontId="0"/>
  </si>
  <si>
    <t>LSI HQ PD DIV. PD SOP WIDE ASSY DEPT.</t>
  </si>
  <si>
    <t>LSI HQ PD DIV. PD QFP/LAPIS ASSY DEPT.</t>
  </si>
  <si>
    <t>4</t>
    <phoneticPr fontId="0"/>
  </si>
  <si>
    <t>LSI HQ PD DIV. PD MAP ASSY DEPT.</t>
  </si>
  <si>
    <t>5</t>
    <phoneticPr fontId="0"/>
  </si>
  <si>
    <t>LSI HQ PD DIV. PD EDS DEPT.</t>
  </si>
  <si>
    <t>The data below is result of calibration conducted based on the above standard gauges, test dates, testing department</t>
    <phoneticPr fontId="2"/>
  </si>
  <si>
    <t>and testing conditions,and the test items are based on the calibration standard.The initial calibration values are to be</t>
    <phoneticPr fontId="2"/>
  </si>
  <si>
    <t>entered into the space titled "initial value". However in case of any adjustment,enter the calibration values after</t>
    <phoneticPr fontId="2"/>
  </si>
  <si>
    <t>LSI HQ PD DIV. PD THD/SOP ASSY DEPT.</t>
  </si>
  <si>
    <t>adjustment into the space titled "final value".</t>
  </si>
  <si>
    <t>Test Item</t>
    <phoneticPr fontId="2"/>
  </si>
  <si>
    <t>Range</t>
    <phoneticPr fontId="2"/>
  </si>
  <si>
    <t>Standard Value</t>
    <phoneticPr fontId="2"/>
  </si>
  <si>
    <t>Initial Value</t>
    <phoneticPr fontId="2"/>
  </si>
  <si>
    <t>Lower Limit</t>
    <phoneticPr fontId="2"/>
  </si>
  <si>
    <t>Final Value</t>
    <phoneticPr fontId="2"/>
  </si>
  <si>
    <t>Upper Limit</t>
    <phoneticPr fontId="2"/>
  </si>
  <si>
    <r>
      <t xml:space="preserve">Judgment </t>
    </r>
    <r>
      <rPr>
        <sz val="6"/>
        <rFont val="Arial"/>
        <family val="2"/>
      </rPr>
      <t>P(assed) F(ailed)</t>
    </r>
  </si>
  <si>
    <t>（　　　　）</t>
    <phoneticPr fontId="2"/>
  </si>
  <si>
    <t>Electrical Characteristic</t>
    <phoneticPr fontId="0"/>
  </si>
  <si>
    <t>A-ch</t>
    <phoneticPr fontId="0"/>
  </si>
  <si>
    <r>
      <t>P</t>
    </r>
    <r>
      <rPr>
        <sz val="9"/>
        <rFont val="ＭＳ Ｐ明朝"/>
        <family val="1"/>
        <charset val="128"/>
      </rPr>
      <t>　・　</t>
    </r>
    <r>
      <rPr>
        <sz val="9"/>
        <rFont val="Arial"/>
        <family val="2"/>
      </rPr>
      <t>F</t>
    </r>
  </si>
  <si>
    <t>B-ch</t>
    <phoneticPr fontId="0"/>
  </si>
  <si>
    <t xml:space="preserve">* However in order to make the ICT1800's printout data as the Calibration Test Record one must show the relation </t>
    <phoneticPr fontId="0"/>
  </si>
  <si>
    <t>between the test item , area and the test no. Also the judgment value shall be 1 for pass and 2 for fail.</t>
    <phoneticPr fontId="0"/>
  </si>
  <si>
    <r>
      <t>REPIST80105</t>
    </r>
    <r>
      <rPr>
        <sz val="9"/>
        <rFont val="ＭＳ Ｐ明朝"/>
        <family val="1"/>
        <charset val="128"/>
      </rPr>
      <t>･</t>
    </r>
    <r>
      <rPr>
        <sz val="9"/>
        <rFont val="Arial"/>
        <family val="2"/>
      </rPr>
      <t>01</t>
    </r>
    <r>
      <rPr>
        <sz val="9"/>
        <rFont val="ＭＳ Ｐ明朝"/>
        <family val="1"/>
        <charset val="128"/>
      </rPr>
      <t>･</t>
    </r>
    <r>
      <rPr>
        <sz val="9"/>
        <rFont val="Arial"/>
        <family val="2"/>
      </rPr>
      <t>001</t>
    </r>
  </si>
  <si>
    <t xml:space="preserve">LSI2-1F </t>
  </si>
  <si>
    <t xml:space="preserve">LSI2-2F </t>
  </si>
  <si>
    <t xml:space="preserve">LSI2-3F </t>
  </si>
  <si>
    <t>PROCESS</t>
  </si>
  <si>
    <t>PROCESS INCHARGE</t>
  </si>
  <si>
    <t>DEPARTMENT</t>
  </si>
  <si>
    <t>REQUESTING PERSON</t>
  </si>
  <si>
    <t>Requesting Dept.</t>
  </si>
  <si>
    <t>REQUESTING DEPT.</t>
  </si>
  <si>
    <t>INPUT SERIAL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</si>
</sst>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mmmm\ d\,\ yyyy;@"/>
    <numFmt numFmtId="165" formatCode="[$-2409]mmmm\ dd\,\ yyyy;@"/>
    <numFmt numFmtId="166" formatCode="0.0_ "/>
  </numFmts>
  <fonts count="15" x14ac:knownFonts="1">
    <font>
      <sz val="11"/>
      <color theme="1"/>
      <name val="Calibri"/>
      <family val="2"/>
      <scheme val="minor"/>
    </font>
    <font>
      <sz val="11"/>
      <name val="ＭＳ Ｐゴシック"/>
      <family val="2"/>
      <charset val="128"/>
    </font>
    <font>
      <sz val="11"/>
      <name val="ＭＳ 明朝"/>
      <family val="3"/>
      <charset val="128"/>
    </font>
    <font>
      <sz val="11"/>
      <name val="ＭＳ Ｐゴシック"/>
      <family val="3"/>
    </font>
    <font>
      <sz val="10"/>
      <name val="Arial"/>
      <family val="2"/>
    </font>
    <font>
      <b/>
      <sz val="12"/>
      <name val="Arial"/>
      <family val="2"/>
    </font>
    <font>
      <b/>
      <sz val="12"/>
      <name val="ＭＳ Ｐ明朝"/>
      <family val="1"/>
      <charset val="128"/>
    </font>
    <font>
      <sz val="11"/>
      <color indexed="8"/>
      <name val="ＭＳ Ｐゴシック"/>
      <family val="2"/>
    </font>
    <font>
      <sz val="9"/>
      <name val="Arial"/>
      <family val="2"/>
    </font>
    <font>
      <sz val="9"/>
      <name val="ＭＳ Ｐ明朝"/>
      <family val="1"/>
      <charset val="128"/>
    </font>
    <font>
      <sz val="8"/>
      <name val="Arial"/>
      <family val="2"/>
    </font>
    <font>
      <sz val="9"/>
      <name val="ＭＳ 明朝"/>
      <family val="3"/>
      <charset val="128"/>
    </font>
    <font>
      <sz val="6"/>
      <name val="Arial"/>
      <family val="2"/>
    </font>
    <font>
      <sz val="11"/>
      <color theme="1"/>
      <name val="Arial"/>
      <family val="2"/>
    </font>
    <font>
      <b/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/>
  </cellStyleXfs>
  <cellXfs count="139">
    <xf numFmtId="0" fontId="0" fillId="0" borderId="0" xfId="0"/>
    <xf numFmtId="0" fontId="0" fillId="2" borderId="0" xfId="0" applyFill="1" applyAlignment="1">
      <alignment horizontal="left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2" xfId="0" applyBorder="1"/>
    <xf numFmtId="0" fontId="0" fillId="0" borderId="0" xfId="0" applyAlignment="1"/>
    <xf numFmtId="0" fontId="0" fillId="2" borderId="2" xfId="0" applyFill="1" applyBorder="1" applyAlignment="1">
      <alignment horizontal="left"/>
    </xf>
    <xf numFmtId="0" fontId="0" fillId="2" borderId="2" xfId="0" applyFill="1" applyBorder="1" applyAlignment="1"/>
    <xf numFmtId="0" fontId="0" fillId="0" borderId="2" xfId="0" applyBorder="1" applyAlignment="1"/>
    <xf numFmtId="0" fontId="0" fillId="0" borderId="2" xfId="0" applyBorder="1" applyAlignment="1">
      <alignment horizontal="left"/>
    </xf>
    <xf numFmtId="0" fontId="4" fillId="0" borderId="0" xfId="5" applyFont="1" applyAlignment="1" applyProtection="1">
      <alignment vertical="center"/>
      <protection locked="0"/>
    </xf>
    <xf numFmtId="0" fontId="8" fillId="0" borderId="0" xfId="5" applyFont="1" applyAlignment="1" applyProtection="1">
      <alignment vertical="center"/>
      <protection locked="0"/>
    </xf>
    <xf numFmtId="0" fontId="8" fillId="0" borderId="0" xfId="2" applyFont="1" applyProtection="1">
      <alignment vertical="center"/>
      <protection locked="0"/>
    </xf>
    <xf numFmtId="0" fontId="14" fillId="0" borderId="2" xfId="2" applyFont="1" applyBorder="1" applyAlignment="1" applyProtection="1">
      <alignment horizontal="center" vertical="center"/>
      <protection locked="0"/>
    </xf>
    <xf numFmtId="0" fontId="8" fillId="4" borderId="2" xfId="2" applyFont="1" applyFill="1" applyBorder="1" applyAlignment="1" applyProtection="1">
      <alignment horizontal="center" vertical="center"/>
      <protection locked="0"/>
    </xf>
    <xf numFmtId="0" fontId="4" fillId="0" borderId="0" xfId="5" applyFont="1" applyAlignment="1" applyProtection="1">
      <alignment vertical="center"/>
    </xf>
    <xf numFmtId="0" fontId="4" fillId="0" borderId="3" xfId="5" applyFont="1" applyBorder="1" applyAlignment="1" applyProtection="1">
      <alignment vertical="center"/>
    </xf>
    <xf numFmtId="0" fontId="4" fillId="0" borderId="4" xfId="5" applyFont="1" applyBorder="1" applyAlignment="1" applyProtection="1">
      <alignment vertical="center"/>
    </xf>
    <xf numFmtId="0" fontId="4" fillId="0" borderId="5" xfId="5" applyFont="1" applyBorder="1" applyAlignment="1" applyProtection="1">
      <alignment vertical="center"/>
    </xf>
    <xf numFmtId="0" fontId="4" fillId="0" borderId="6" xfId="5" applyFont="1" applyBorder="1" applyAlignment="1" applyProtection="1">
      <alignment vertical="center"/>
    </xf>
    <xf numFmtId="0" fontId="7" fillId="0" borderId="0" xfId="5" applyFont="1" applyAlignment="1" applyProtection="1">
      <alignment horizontal="right" vertical="center"/>
    </xf>
    <xf numFmtId="0" fontId="4" fillId="0" borderId="7" xfId="5" applyFont="1" applyBorder="1" applyAlignment="1" applyProtection="1">
      <alignment vertical="center"/>
    </xf>
    <xf numFmtId="0" fontId="8" fillId="0" borderId="0" xfId="5" applyFont="1" applyAlignment="1" applyProtection="1">
      <alignment vertical="center"/>
    </xf>
    <xf numFmtId="0" fontId="8" fillId="0" borderId="6" xfId="5" applyFont="1" applyBorder="1" applyAlignment="1" applyProtection="1">
      <alignment vertical="center"/>
    </xf>
    <xf numFmtId="0" fontId="8" fillId="0" borderId="7" xfId="5" applyFont="1" applyBorder="1" applyAlignment="1" applyProtection="1">
      <alignment vertical="center"/>
    </xf>
    <xf numFmtId="0" fontId="8" fillId="0" borderId="3" xfId="5" applyFont="1" applyBorder="1" applyAlignment="1" applyProtection="1">
      <alignment vertical="center"/>
    </xf>
    <xf numFmtId="0" fontId="8" fillId="0" borderId="4" xfId="5" applyFont="1" applyBorder="1" applyAlignment="1" applyProtection="1">
      <alignment vertical="center"/>
    </xf>
    <xf numFmtId="0" fontId="8" fillId="0" borderId="5" xfId="5" applyFont="1" applyBorder="1" applyAlignment="1" applyProtection="1">
      <alignment vertical="center"/>
    </xf>
    <xf numFmtId="0" fontId="8" fillId="0" borderId="13" xfId="5" applyFont="1" applyBorder="1" applyAlignment="1" applyProtection="1">
      <alignment vertical="center"/>
    </xf>
    <xf numFmtId="0" fontId="8" fillId="0" borderId="0" xfId="1" applyFont="1" applyProtection="1"/>
    <xf numFmtId="0" fontId="8" fillId="0" borderId="14" xfId="5" applyFont="1" applyBorder="1" applyAlignment="1" applyProtection="1">
      <alignment vertical="center"/>
    </xf>
    <xf numFmtId="0" fontId="8" fillId="0" borderId="15" xfId="5" applyFont="1" applyBorder="1" applyAlignment="1" applyProtection="1">
      <alignment vertical="center"/>
    </xf>
    <xf numFmtId="0" fontId="8" fillId="0" borderId="11" xfId="5" applyFont="1" applyBorder="1" applyAlignment="1" applyProtection="1">
      <alignment vertical="center"/>
    </xf>
    <xf numFmtId="0" fontId="8" fillId="0" borderId="12" xfId="5" applyFont="1" applyBorder="1" applyAlignment="1" applyProtection="1">
      <alignment vertical="center"/>
    </xf>
    <xf numFmtId="0" fontId="8" fillId="0" borderId="16" xfId="5" applyFont="1" applyBorder="1" applyAlignment="1" applyProtection="1">
      <alignment vertical="center"/>
    </xf>
    <xf numFmtId="0" fontId="8" fillId="0" borderId="0" xfId="2" applyFont="1" applyProtection="1">
      <alignment vertical="center"/>
    </xf>
    <xf numFmtId="0" fontId="8" fillId="0" borderId="6" xfId="2" applyFont="1" applyBorder="1" applyProtection="1">
      <alignment vertical="center"/>
    </xf>
    <xf numFmtId="0" fontId="8" fillId="0" borderId="7" xfId="2" applyFont="1" applyBorder="1" applyProtection="1">
      <alignment vertical="center"/>
    </xf>
    <xf numFmtId="0" fontId="8" fillId="0" borderId="11" xfId="2" applyFont="1" applyBorder="1" applyProtection="1">
      <alignment vertical="center"/>
    </xf>
    <xf numFmtId="0" fontId="9" fillId="0" borderId="11" xfId="2" applyFont="1" applyBorder="1" applyProtection="1">
      <alignment vertical="center"/>
    </xf>
    <xf numFmtId="0" fontId="8" fillId="0" borderId="9" xfId="2" applyFont="1" applyBorder="1" applyProtection="1">
      <alignment vertical="center"/>
    </xf>
    <xf numFmtId="0" fontId="8" fillId="0" borderId="1" xfId="2" applyFont="1" applyBorder="1" applyProtection="1">
      <alignment vertical="center"/>
    </xf>
    <xf numFmtId="0" fontId="8" fillId="0" borderId="0" xfId="2" applyFont="1" applyAlignment="1" applyProtection="1">
      <alignment horizontal="left" vertical="center"/>
    </xf>
    <xf numFmtId="0" fontId="9" fillId="0" borderId="0" xfId="2" applyFont="1" applyProtection="1">
      <alignment vertical="center"/>
    </xf>
    <xf numFmtId="0" fontId="8" fillId="0" borderId="0" xfId="2" applyFont="1" applyAlignment="1" applyProtection="1">
      <alignment horizontal="center" vertical="center"/>
    </xf>
    <xf numFmtId="49" fontId="8" fillId="0" borderId="18" xfId="2" applyNumberFormat="1" applyFont="1" applyBorder="1" applyAlignment="1" applyProtection="1">
      <alignment horizontal="center" vertical="center" wrapText="1"/>
    </xf>
    <xf numFmtId="0" fontId="8" fillId="0" borderId="18" xfId="2" applyFont="1" applyBorder="1" applyAlignment="1" applyProtection="1">
      <alignment horizontal="center" vertical="center" wrapText="1"/>
    </xf>
    <xf numFmtId="49" fontId="8" fillId="0" borderId="19" xfId="2" applyNumberFormat="1" applyFont="1" applyBorder="1" applyAlignment="1" applyProtection="1">
      <alignment horizontal="center" vertical="center" wrapText="1"/>
    </xf>
    <xf numFmtId="49" fontId="9" fillId="0" borderId="0" xfId="2" applyNumberFormat="1" applyFont="1" applyAlignment="1" applyProtection="1">
      <alignment horizontal="center" vertical="center"/>
    </xf>
    <xf numFmtId="166" fontId="8" fillId="0" borderId="0" xfId="2" applyNumberFormat="1" applyFont="1" applyAlignment="1" applyProtection="1">
      <alignment horizontal="right" vertical="center"/>
    </xf>
    <xf numFmtId="49" fontId="8" fillId="0" borderId="0" xfId="2" applyNumberFormat="1" applyFont="1" applyAlignment="1" applyProtection="1">
      <alignment horizontal="center" vertical="center" wrapText="1"/>
    </xf>
    <xf numFmtId="49" fontId="8" fillId="0" borderId="0" xfId="2" applyNumberFormat="1" applyFont="1" applyAlignment="1" applyProtection="1">
      <alignment horizontal="center" vertical="center"/>
    </xf>
    <xf numFmtId="49" fontId="8" fillId="0" borderId="0" xfId="2" applyNumberFormat="1" applyFont="1" applyAlignment="1" applyProtection="1">
      <alignment horizontal="right" vertical="center"/>
    </xf>
    <xf numFmtId="0" fontId="13" fillId="4" borderId="0" xfId="0" applyFont="1" applyFill="1" applyAlignment="1" applyProtection="1">
      <alignment horizontal="left"/>
      <protection locked="0"/>
    </xf>
    <xf numFmtId="165" fontId="13" fillId="4" borderId="0" xfId="0" applyNumberFormat="1" applyFont="1" applyFill="1" applyAlignment="1" applyProtection="1">
      <alignment horizontal="left"/>
      <protection locked="0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left"/>
      <protection locked="0"/>
    </xf>
    <xf numFmtId="165" fontId="13" fillId="0" borderId="0" xfId="0" applyNumberFormat="1" applyFont="1" applyAlignment="1" applyProtection="1">
      <alignment horizontal="left"/>
      <protection locked="0"/>
    </xf>
    <xf numFmtId="0" fontId="13" fillId="0" borderId="0" xfId="0" applyNumberFormat="1" applyFont="1" applyProtection="1">
      <protection locked="0"/>
    </xf>
    <xf numFmtId="0" fontId="13" fillId="4" borderId="0" xfId="0" applyFont="1" applyFill="1" applyAlignment="1" applyProtection="1">
      <alignment horizontal="left"/>
    </xf>
    <xf numFmtId="0" fontId="13" fillId="0" borderId="0" xfId="0" applyFont="1" applyAlignment="1" applyProtection="1">
      <alignment horizontal="left"/>
    </xf>
    <xf numFmtId="0" fontId="13" fillId="4" borderId="0" xfId="0" applyNumberFormat="1" applyFont="1" applyFill="1" applyAlignment="1" applyProtection="1">
      <alignment horizontal="left"/>
    </xf>
    <xf numFmtId="0" fontId="13" fillId="4" borderId="0" xfId="0" applyFont="1" applyFill="1" applyAlignment="1" applyProtection="1">
      <alignment horizontal="center"/>
    </xf>
    <xf numFmtId="0" fontId="13" fillId="0" borderId="0" xfId="0" applyNumberFormat="1" applyFont="1" applyAlignment="1" applyProtection="1">
      <alignment horizontal="left"/>
    </xf>
    <xf numFmtId="0" fontId="13" fillId="0" borderId="0" xfId="0" applyFont="1" applyAlignment="1" applyProtection="1">
      <alignment horizontal="center"/>
    </xf>
    <xf numFmtId="0" fontId="8" fillId="0" borderId="0" xfId="2" applyFont="1" applyAlignment="1" applyProtection="1">
      <alignment horizontal="left" vertical="center"/>
    </xf>
    <xf numFmtId="49" fontId="8" fillId="0" borderId="0" xfId="2" applyNumberFormat="1" applyFont="1" applyAlignment="1" applyProtection="1">
      <alignment horizontal="center" vertical="center" wrapText="1"/>
    </xf>
    <xf numFmtId="49" fontId="8" fillId="0" borderId="0" xfId="2" applyNumberFormat="1" applyFont="1" applyAlignment="1" applyProtection="1">
      <alignment horizontal="center" vertical="center"/>
    </xf>
    <xf numFmtId="0" fontId="8" fillId="0" borderId="0" xfId="2" applyFont="1" applyAlignment="1" applyProtection="1">
      <alignment horizontal="center" vertical="center"/>
    </xf>
    <xf numFmtId="49" fontId="8" fillId="0" borderId="0" xfId="2" applyNumberFormat="1" applyFont="1" applyAlignment="1" applyProtection="1">
      <alignment horizontal="center" vertical="center"/>
    </xf>
    <xf numFmtId="0" fontId="8" fillId="0" borderId="0" xfId="2" applyFont="1" applyAlignment="1" applyProtection="1">
      <alignment horizontal="center" vertical="center"/>
    </xf>
    <xf numFmtId="49" fontId="8" fillId="0" borderId="0" xfId="2" applyNumberFormat="1" applyFont="1" applyAlignment="1" applyProtection="1">
      <alignment horizontal="left" vertical="center" wrapText="1"/>
    </xf>
    <xf numFmtId="49" fontId="8" fillId="0" borderId="0" xfId="2" applyNumberFormat="1" applyFont="1" applyAlignment="1" applyProtection="1">
      <alignment horizontal="center" vertical="center" wrapText="1"/>
    </xf>
    <xf numFmtId="0" fontId="8" fillId="0" borderId="8" xfId="2" applyFont="1" applyBorder="1" applyAlignment="1" applyProtection="1">
      <alignment horizontal="center" vertical="center"/>
    </xf>
    <xf numFmtId="0" fontId="8" fillId="0" borderId="9" xfId="2" applyFont="1" applyBorder="1" applyAlignment="1" applyProtection="1">
      <alignment horizontal="center" vertical="center"/>
    </xf>
    <xf numFmtId="0" fontId="8" fillId="0" borderId="1" xfId="2" applyFont="1" applyBorder="1" applyAlignment="1" applyProtection="1">
      <alignment horizontal="center" vertical="center"/>
    </xf>
    <xf numFmtId="49" fontId="10" fillId="0" borderId="2" xfId="2" applyNumberFormat="1" applyFont="1" applyBorder="1" applyAlignment="1" applyProtection="1">
      <alignment horizontal="center" vertical="center" wrapText="1"/>
    </xf>
    <xf numFmtId="49" fontId="10" fillId="0" borderId="2" xfId="2" applyNumberFormat="1" applyFont="1" applyBorder="1" applyAlignment="1" applyProtection="1">
      <alignment horizontal="center" vertical="center"/>
    </xf>
    <xf numFmtId="0" fontId="8" fillId="0" borderId="2" xfId="2" applyFont="1" applyBorder="1" applyAlignment="1" applyProtection="1">
      <alignment horizontal="center" vertical="center"/>
    </xf>
    <xf numFmtId="49" fontId="8" fillId="0" borderId="2" xfId="2" applyNumberFormat="1" applyFont="1" applyBorder="1" applyAlignment="1" applyProtection="1">
      <alignment horizontal="center" vertical="center" wrapText="1"/>
    </xf>
    <xf numFmtId="49" fontId="8" fillId="0" borderId="2" xfId="2" applyNumberFormat="1" applyFont="1" applyBorder="1" applyAlignment="1" applyProtection="1">
      <alignment horizontal="center" vertical="center"/>
    </xf>
    <xf numFmtId="0" fontId="8" fillId="0" borderId="3" xfId="2" applyFont="1" applyBorder="1" applyAlignment="1" applyProtection="1">
      <alignment horizontal="center" vertical="center"/>
    </xf>
    <xf numFmtId="0" fontId="8" fillId="0" borderId="4" xfId="2" applyFont="1" applyBorder="1" applyAlignment="1" applyProtection="1">
      <alignment horizontal="center" vertical="center"/>
    </xf>
    <xf numFmtId="0" fontId="8" fillId="0" borderId="5" xfId="2" applyFont="1" applyBorder="1" applyAlignment="1" applyProtection="1">
      <alignment horizontal="center" vertical="center"/>
    </xf>
    <xf numFmtId="0" fontId="8" fillId="0" borderId="15" xfId="2" applyFont="1" applyBorder="1" applyAlignment="1" applyProtection="1">
      <alignment horizontal="center" vertical="center"/>
    </xf>
    <xf numFmtId="0" fontId="8" fillId="0" borderId="11" xfId="2" applyFont="1" applyBorder="1" applyAlignment="1" applyProtection="1">
      <alignment horizontal="center" vertical="center"/>
    </xf>
    <xf numFmtId="0" fontId="8" fillId="0" borderId="12" xfId="2" applyFont="1" applyBorder="1" applyAlignment="1" applyProtection="1">
      <alignment horizontal="center" vertical="center"/>
    </xf>
    <xf numFmtId="0" fontId="8" fillId="0" borderId="3" xfId="2" applyFont="1" applyBorder="1" applyAlignment="1" applyProtection="1">
      <alignment horizontal="center" vertical="center" wrapText="1"/>
    </xf>
    <xf numFmtId="0" fontId="8" fillId="0" borderId="4" xfId="2" applyFont="1" applyBorder="1" applyAlignment="1" applyProtection="1">
      <alignment horizontal="center" vertical="center" wrapText="1"/>
    </xf>
    <xf numFmtId="0" fontId="8" fillId="0" borderId="5" xfId="2" applyFont="1" applyBorder="1" applyAlignment="1" applyProtection="1">
      <alignment horizontal="center" vertical="center" wrapText="1"/>
    </xf>
    <xf numFmtId="0" fontId="8" fillId="0" borderId="15" xfId="2" applyFont="1" applyBorder="1" applyAlignment="1" applyProtection="1">
      <alignment horizontal="center" vertical="center" wrapText="1"/>
    </xf>
    <xf numFmtId="0" fontId="8" fillId="0" borderId="11" xfId="2" applyFont="1" applyBorder="1" applyAlignment="1" applyProtection="1">
      <alignment horizontal="center" vertical="center" wrapText="1"/>
    </xf>
    <xf numFmtId="0" fontId="8" fillId="0" borderId="12" xfId="2" applyFont="1" applyBorder="1" applyAlignment="1" applyProtection="1">
      <alignment horizontal="center" vertical="center" wrapText="1"/>
    </xf>
    <xf numFmtId="0" fontId="9" fillId="0" borderId="15" xfId="2" applyFont="1" applyBorder="1" applyAlignment="1" applyProtection="1">
      <alignment horizontal="center" vertical="center"/>
    </xf>
    <xf numFmtId="49" fontId="10" fillId="0" borderId="8" xfId="2" applyNumberFormat="1" applyFont="1" applyBorder="1" applyAlignment="1" applyProtection="1">
      <alignment horizontal="center" vertical="center" wrapText="1"/>
    </xf>
    <xf numFmtId="49" fontId="10" fillId="0" borderId="9" xfId="2" applyNumberFormat="1" applyFont="1" applyBorder="1" applyAlignment="1" applyProtection="1">
      <alignment horizontal="center" vertical="center"/>
    </xf>
    <xf numFmtId="49" fontId="10" fillId="0" borderId="1" xfId="2" applyNumberFormat="1" applyFont="1" applyBorder="1" applyAlignment="1" applyProtection="1">
      <alignment horizontal="center" vertical="center"/>
    </xf>
    <xf numFmtId="49" fontId="8" fillId="0" borderId="8" xfId="2" applyNumberFormat="1" applyFont="1" applyBorder="1" applyAlignment="1" applyProtection="1">
      <alignment horizontal="center" vertical="center" wrapText="1"/>
    </xf>
    <xf numFmtId="49" fontId="8" fillId="0" borderId="9" xfId="2" applyNumberFormat="1" applyFont="1" applyBorder="1" applyAlignment="1" applyProtection="1">
      <alignment horizontal="center" vertical="center"/>
    </xf>
    <xf numFmtId="49" fontId="8" fillId="0" borderId="1" xfId="2" applyNumberFormat="1" applyFont="1" applyBorder="1" applyAlignment="1" applyProtection="1">
      <alignment horizontal="center" vertical="center"/>
    </xf>
    <xf numFmtId="49" fontId="8" fillId="0" borderId="3" xfId="2" applyNumberFormat="1" applyFont="1" applyBorder="1" applyAlignment="1" applyProtection="1">
      <alignment horizontal="center" vertical="center"/>
    </xf>
    <xf numFmtId="49" fontId="8" fillId="0" borderId="4" xfId="2" applyNumberFormat="1" applyFont="1" applyBorder="1" applyAlignment="1" applyProtection="1">
      <alignment horizontal="center" vertical="center"/>
    </xf>
    <xf numFmtId="49" fontId="8" fillId="0" borderId="5" xfId="2" applyNumberFormat="1" applyFont="1" applyBorder="1" applyAlignment="1" applyProtection="1">
      <alignment horizontal="center" vertical="center"/>
    </xf>
    <xf numFmtId="49" fontId="8" fillId="0" borderId="15" xfId="2" applyNumberFormat="1" applyFont="1" applyBorder="1" applyAlignment="1" applyProtection="1">
      <alignment horizontal="center" vertical="center"/>
    </xf>
    <xf numFmtId="49" fontId="8" fillId="0" borderId="11" xfId="2" applyNumberFormat="1" applyFont="1" applyBorder="1" applyAlignment="1" applyProtection="1">
      <alignment horizontal="center" vertical="center"/>
    </xf>
    <xf numFmtId="49" fontId="8" fillId="0" borderId="12" xfId="2" applyNumberFormat="1" applyFont="1" applyBorder="1" applyAlignment="1" applyProtection="1">
      <alignment horizontal="center" vertical="center"/>
    </xf>
    <xf numFmtId="0" fontId="8" fillId="0" borderId="1" xfId="2" applyFont="1" applyBorder="1" applyAlignment="1" applyProtection="1">
      <alignment horizontal="left" vertical="center"/>
    </xf>
    <xf numFmtId="0" fontId="8" fillId="0" borderId="2" xfId="2" applyFont="1" applyBorder="1" applyAlignment="1" applyProtection="1">
      <alignment horizontal="left" vertical="center"/>
    </xf>
    <xf numFmtId="49" fontId="11" fillId="0" borderId="8" xfId="2" applyNumberFormat="1" applyFont="1" applyBorder="1" applyAlignment="1" applyProtection="1">
      <alignment horizontal="center" vertical="center"/>
    </xf>
    <xf numFmtId="0" fontId="8" fillId="0" borderId="0" xfId="2" applyFont="1" applyAlignment="1" applyProtection="1">
      <alignment horizontal="left" vertical="center"/>
    </xf>
    <xf numFmtId="0" fontId="8" fillId="0" borderId="4" xfId="2" applyFont="1" applyBorder="1" applyAlignment="1" applyProtection="1">
      <alignment horizontal="left" vertical="center"/>
    </xf>
    <xf numFmtId="0" fontId="8" fillId="0" borderId="5" xfId="2" applyFont="1" applyBorder="1" applyAlignment="1" applyProtection="1">
      <alignment horizontal="left" vertical="center"/>
    </xf>
    <xf numFmtId="49" fontId="8" fillId="0" borderId="8" xfId="2" applyNumberFormat="1" applyFont="1" applyBorder="1" applyAlignment="1" applyProtection="1">
      <alignment horizontal="center" vertical="center"/>
    </xf>
    <xf numFmtId="0" fontId="10" fillId="0" borderId="8" xfId="2" applyFont="1" applyBorder="1" applyAlignment="1" applyProtection="1">
      <alignment horizontal="left" vertical="center"/>
    </xf>
    <xf numFmtId="0" fontId="10" fillId="0" borderId="9" xfId="2" applyFont="1" applyBorder="1" applyAlignment="1" applyProtection="1">
      <alignment horizontal="left" vertical="center"/>
    </xf>
    <xf numFmtId="0" fontId="10" fillId="0" borderId="1" xfId="2" applyFont="1" applyBorder="1" applyAlignment="1" applyProtection="1">
      <alignment horizontal="left" vertical="center"/>
    </xf>
    <xf numFmtId="0" fontId="8" fillId="0" borderId="10" xfId="2" applyFont="1" applyBorder="1" applyAlignment="1" applyProtection="1">
      <alignment horizontal="center" vertical="center"/>
    </xf>
    <xf numFmtId="0" fontId="8" fillId="0" borderId="17" xfId="2" applyFont="1" applyBorder="1" applyAlignment="1" applyProtection="1">
      <alignment horizontal="center" vertical="center"/>
    </xf>
    <xf numFmtId="0" fontId="8" fillId="0" borderId="8" xfId="2" applyFont="1" applyBorder="1" applyAlignment="1" applyProtection="1">
      <alignment horizontal="left" vertical="center"/>
    </xf>
    <xf numFmtId="0" fontId="8" fillId="0" borderId="9" xfId="2" applyFont="1" applyBorder="1" applyAlignment="1" applyProtection="1">
      <alignment horizontal="left" vertical="center"/>
    </xf>
    <xf numFmtId="0" fontId="8" fillId="0" borderId="8" xfId="2" applyFont="1" applyBorder="1" applyAlignment="1" applyProtection="1">
      <alignment horizontal="center" vertical="center" wrapText="1"/>
    </xf>
    <xf numFmtId="0" fontId="8" fillId="0" borderId="9" xfId="2" applyFont="1" applyBorder="1" applyAlignment="1" applyProtection="1">
      <alignment horizontal="center" vertical="center" wrapText="1"/>
    </xf>
    <xf numFmtId="0" fontId="8" fillId="0" borderId="10" xfId="2" applyFont="1" applyBorder="1" applyAlignment="1" applyProtection="1">
      <alignment horizontal="center" vertical="center" wrapText="1"/>
    </xf>
    <xf numFmtId="0" fontId="8" fillId="0" borderId="17" xfId="2" applyFont="1" applyBorder="1" applyAlignment="1" applyProtection="1">
      <alignment horizontal="left" vertical="center"/>
    </xf>
    <xf numFmtId="164" fontId="8" fillId="0" borderId="8" xfId="2" applyNumberFormat="1" applyFont="1" applyBorder="1" applyAlignment="1" applyProtection="1">
      <alignment horizontal="center" vertical="center" wrapText="1"/>
    </xf>
    <xf numFmtId="164" fontId="8" fillId="0" borderId="9" xfId="2" applyNumberFormat="1" applyFont="1" applyBorder="1" applyAlignment="1" applyProtection="1">
      <alignment horizontal="center" vertical="center" wrapText="1"/>
    </xf>
    <xf numFmtId="164" fontId="8" fillId="0" borderId="10" xfId="2" applyNumberFormat="1" applyFont="1" applyBorder="1" applyAlignment="1" applyProtection="1">
      <alignment horizontal="center" vertical="center" wrapText="1"/>
    </xf>
    <xf numFmtId="0" fontId="8" fillId="0" borderId="9" xfId="2" applyFont="1" applyBorder="1" applyAlignment="1" applyProtection="1">
      <alignment horizontal="right" vertical="center"/>
    </xf>
    <xf numFmtId="0" fontId="5" fillId="0" borderId="4" xfId="5" applyFont="1" applyBorder="1" applyAlignment="1" applyProtection="1">
      <alignment horizontal="center" vertical="center"/>
    </xf>
    <xf numFmtId="0" fontId="5" fillId="0" borderId="0" xfId="5" applyFont="1" applyAlignment="1" applyProtection="1">
      <alignment horizontal="center" vertical="center"/>
    </xf>
    <xf numFmtId="0" fontId="8" fillId="0" borderId="8" xfId="5" applyFont="1" applyBorder="1" applyAlignment="1" applyProtection="1">
      <alignment horizontal="center" vertical="center"/>
    </xf>
    <xf numFmtId="0" fontId="8" fillId="0" borderId="9" xfId="5" applyFont="1" applyBorder="1" applyAlignment="1" applyProtection="1">
      <alignment horizontal="center" vertical="center"/>
    </xf>
    <xf numFmtId="0" fontId="8" fillId="0" borderId="10" xfId="5" applyFont="1" applyBorder="1" applyAlignment="1" applyProtection="1">
      <alignment horizontal="center" vertical="center"/>
    </xf>
    <xf numFmtId="0" fontId="8" fillId="0" borderId="9" xfId="1" applyFont="1" applyBorder="1" applyAlignment="1" applyProtection="1">
      <alignment horizontal="center" vertical="center"/>
    </xf>
    <xf numFmtId="0" fontId="8" fillId="0" borderId="1" xfId="1" applyFont="1" applyBorder="1" applyAlignment="1" applyProtection="1">
      <alignment horizontal="center" vertical="center"/>
    </xf>
    <xf numFmtId="0" fontId="8" fillId="0" borderId="1" xfId="5" applyFont="1" applyBorder="1" applyAlignment="1" applyProtection="1">
      <alignment horizontal="center" vertical="center"/>
    </xf>
    <xf numFmtId="0" fontId="8" fillId="0" borderId="11" xfId="1" applyFont="1" applyBorder="1" applyAlignment="1" applyProtection="1">
      <alignment horizontal="center" vertical="center"/>
    </xf>
    <xf numFmtId="0" fontId="8" fillId="0" borderId="12" xfId="1" applyFont="1" applyBorder="1" applyAlignment="1" applyProtection="1">
      <alignment horizontal="center" vertical="center"/>
    </xf>
    <xf numFmtId="0" fontId="8" fillId="0" borderId="11" xfId="5" applyFont="1" applyBorder="1" applyAlignment="1" applyProtection="1">
      <alignment horizontal="center" vertical="center"/>
    </xf>
  </cellXfs>
  <cellStyles count="6">
    <cellStyle name="Normal" xfId="0" builtinId="0"/>
    <cellStyle name="Normal 2" xfId="2"/>
    <cellStyle name="Normal 2 2" xfId="3"/>
    <cellStyle name="Normal 5" xfId="4"/>
    <cellStyle name="標準_06-A(T20-360)" xfId="1"/>
    <cellStyle name="標準_T31-026-07-A 2" xfId="5"/>
  </cellStyles>
  <dxfs count="2">
    <dxf>
      <font>
        <b val="0"/>
        <i/>
        <color rgb="FFFF0000"/>
      </font>
    </dxf>
    <dxf>
      <font>
        <b val="0"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26</xdr:row>
      <xdr:rowOff>0</xdr:rowOff>
    </xdr:from>
    <xdr:to>
      <xdr:col>36</xdr:col>
      <xdr:colOff>0</xdr:colOff>
      <xdr:row>29</xdr:row>
      <xdr:rowOff>266700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15E7CB44-640E-408B-8A3E-4D192C719F15}"/>
            </a:ext>
          </a:extLst>
        </xdr:cNvPr>
        <xdr:cNvSpPr>
          <a:spLocks noChangeShapeType="1"/>
        </xdr:cNvSpPr>
      </xdr:nvSpPr>
      <xdr:spPr bwMode="auto">
        <a:xfrm flipH="1">
          <a:off x="428625" y="4772025"/>
          <a:ext cx="6429375" cy="10953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114300</xdr:colOff>
      <xdr:row>17</xdr:row>
      <xdr:rowOff>57150</xdr:rowOff>
    </xdr:from>
    <xdr:to>
      <xdr:col>19</xdr:col>
      <xdr:colOff>114300</xdr:colOff>
      <xdr:row>17</xdr:row>
      <xdr:rowOff>152400</xdr:rowOff>
    </xdr:to>
    <xdr:sp macro="" textlink="">
      <xdr:nvSpPr>
        <xdr:cNvPr id="3" name="AutoShape 5">
          <a:extLst>
            <a:ext uri="{FF2B5EF4-FFF2-40B4-BE49-F238E27FC236}">
              <a16:creationId xmlns:a16="http://schemas.microsoft.com/office/drawing/2014/main" xmlns="" id="{191D0990-A7C8-41FF-8EA9-92E4C02F9E32}"/>
            </a:ext>
          </a:extLst>
        </xdr:cNvPr>
        <xdr:cNvSpPr>
          <a:spLocks noChangeArrowheads="1"/>
        </xdr:cNvSpPr>
      </xdr:nvSpPr>
      <xdr:spPr bwMode="auto">
        <a:xfrm>
          <a:off x="3371850" y="3314700"/>
          <a:ext cx="200025" cy="95250"/>
        </a:xfrm>
        <a:prstGeom prst="rightArrow">
          <a:avLst>
            <a:gd name="adj1" fmla="val 50000"/>
            <a:gd name="adj2" fmla="val 5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0</xdr:colOff>
      <xdr:row>38</xdr:row>
      <xdr:rowOff>19050</xdr:rowOff>
    </xdr:from>
    <xdr:to>
      <xdr:col>32</xdr:col>
      <xdr:colOff>0</xdr:colOff>
      <xdr:row>40</xdr:row>
      <xdr:rowOff>0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xmlns="" id="{8040C9E0-1B1D-415E-B0B6-CC28CE1ED65B}"/>
            </a:ext>
          </a:extLst>
        </xdr:cNvPr>
        <xdr:cNvSpPr>
          <a:spLocks noChangeShapeType="1"/>
        </xdr:cNvSpPr>
      </xdr:nvSpPr>
      <xdr:spPr bwMode="auto">
        <a:xfrm flipV="1">
          <a:off x="2057400" y="7115175"/>
          <a:ext cx="4000500" cy="552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171450</xdr:colOff>
      <xdr:row>38</xdr:row>
      <xdr:rowOff>47625</xdr:rowOff>
    </xdr:from>
    <xdr:to>
      <xdr:col>33</xdr:col>
      <xdr:colOff>142876</xdr:colOff>
      <xdr:row>38</xdr:row>
      <xdr:rowOff>219075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xmlns="" id="{9870C6ED-F34E-482B-9E1C-B14F7B04774B}"/>
            </a:ext>
          </a:extLst>
        </xdr:cNvPr>
        <xdr:cNvSpPr/>
      </xdr:nvSpPr>
      <xdr:spPr>
        <a:xfrm>
          <a:off x="6229350" y="7143750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32</xdr:col>
      <xdr:colOff>171450</xdr:colOff>
      <xdr:row>39</xdr:row>
      <xdr:rowOff>38100</xdr:rowOff>
    </xdr:from>
    <xdr:to>
      <xdr:col>33</xdr:col>
      <xdr:colOff>142876</xdr:colOff>
      <xdr:row>39</xdr:row>
      <xdr:rowOff>209550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xmlns="" id="{177BE77C-FF6C-4DB3-B4F9-7678149D42C2}"/>
            </a:ext>
          </a:extLst>
        </xdr:cNvPr>
        <xdr:cNvSpPr/>
      </xdr:nvSpPr>
      <xdr:spPr>
        <a:xfrm>
          <a:off x="6229350" y="7419975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11</xdr:col>
      <xdr:colOff>9525</xdr:colOff>
      <xdr:row>17</xdr:row>
      <xdr:rowOff>9525</xdr:rowOff>
    </xdr:from>
    <xdr:to>
      <xdr:col>13</xdr:col>
      <xdr:colOff>142875</xdr:colOff>
      <xdr:row>17</xdr:row>
      <xdr:rowOff>171450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xmlns="" id="{B31E1912-EF7D-4BE2-8331-72B56F0723D4}"/>
            </a:ext>
          </a:extLst>
        </xdr:cNvPr>
        <xdr:cNvSpPr/>
      </xdr:nvSpPr>
      <xdr:spPr>
        <a:xfrm>
          <a:off x="1895475" y="3267075"/>
          <a:ext cx="504825" cy="161925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26</xdr:row>
      <xdr:rowOff>0</xdr:rowOff>
    </xdr:from>
    <xdr:to>
      <xdr:col>36</xdr:col>
      <xdr:colOff>0</xdr:colOff>
      <xdr:row>29</xdr:row>
      <xdr:rowOff>266700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15E7CB44-640E-408B-8A3E-4D192C719F15}"/>
            </a:ext>
          </a:extLst>
        </xdr:cNvPr>
        <xdr:cNvSpPr>
          <a:spLocks noChangeShapeType="1"/>
        </xdr:cNvSpPr>
      </xdr:nvSpPr>
      <xdr:spPr bwMode="auto">
        <a:xfrm flipH="1">
          <a:off x="428625" y="4772025"/>
          <a:ext cx="6429375" cy="10953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114300</xdr:colOff>
      <xdr:row>17</xdr:row>
      <xdr:rowOff>57150</xdr:rowOff>
    </xdr:from>
    <xdr:to>
      <xdr:col>19</xdr:col>
      <xdr:colOff>114300</xdr:colOff>
      <xdr:row>17</xdr:row>
      <xdr:rowOff>152400</xdr:rowOff>
    </xdr:to>
    <xdr:sp macro="" textlink="">
      <xdr:nvSpPr>
        <xdr:cNvPr id="3" name="AutoShape 5">
          <a:extLst>
            <a:ext uri="{FF2B5EF4-FFF2-40B4-BE49-F238E27FC236}">
              <a16:creationId xmlns:a16="http://schemas.microsoft.com/office/drawing/2014/main" xmlns="" id="{191D0990-A7C8-41FF-8EA9-92E4C02F9E32}"/>
            </a:ext>
          </a:extLst>
        </xdr:cNvPr>
        <xdr:cNvSpPr>
          <a:spLocks noChangeArrowheads="1"/>
        </xdr:cNvSpPr>
      </xdr:nvSpPr>
      <xdr:spPr bwMode="auto">
        <a:xfrm>
          <a:off x="3371850" y="3314700"/>
          <a:ext cx="200025" cy="95250"/>
        </a:xfrm>
        <a:prstGeom prst="rightArrow">
          <a:avLst>
            <a:gd name="adj1" fmla="val 50000"/>
            <a:gd name="adj2" fmla="val 5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0</xdr:colOff>
      <xdr:row>38</xdr:row>
      <xdr:rowOff>19050</xdr:rowOff>
    </xdr:from>
    <xdr:to>
      <xdr:col>32</xdr:col>
      <xdr:colOff>0</xdr:colOff>
      <xdr:row>40</xdr:row>
      <xdr:rowOff>0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xmlns="" id="{8040C9E0-1B1D-415E-B0B6-CC28CE1ED65B}"/>
            </a:ext>
          </a:extLst>
        </xdr:cNvPr>
        <xdr:cNvSpPr>
          <a:spLocks noChangeShapeType="1"/>
        </xdr:cNvSpPr>
      </xdr:nvSpPr>
      <xdr:spPr bwMode="auto">
        <a:xfrm flipV="1">
          <a:off x="2057400" y="7115175"/>
          <a:ext cx="4000500" cy="552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171450</xdr:colOff>
      <xdr:row>38</xdr:row>
      <xdr:rowOff>47625</xdr:rowOff>
    </xdr:from>
    <xdr:to>
      <xdr:col>33</xdr:col>
      <xdr:colOff>142876</xdr:colOff>
      <xdr:row>38</xdr:row>
      <xdr:rowOff>219075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xmlns="" id="{9870C6ED-F34E-482B-9E1C-B14F7B04774B}"/>
            </a:ext>
          </a:extLst>
        </xdr:cNvPr>
        <xdr:cNvSpPr/>
      </xdr:nvSpPr>
      <xdr:spPr>
        <a:xfrm>
          <a:off x="6229350" y="7143750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32</xdr:col>
      <xdr:colOff>171450</xdr:colOff>
      <xdr:row>39</xdr:row>
      <xdr:rowOff>38100</xdr:rowOff>
    </xdr:from>
    <xdr:to>
      <xdr:col>33</xdr:col>
      <xdr:colOff>142876</xdr:colOff>
      <xdr:row>39</xdr:row>
      <xdr:rowOff>209550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xmlns="" id="{177BE77C-FF6C-4DB3-B4F9-7678149D42C2}"/>
            </a:ext>
          </a:extLst>
        </xdr:cNvPr>
        <xdr:cNvSpPr/>
      </xdr:nvSpPr>
      <xdr:spPr>
        <a:xfrm>
          <a:off x="6229350" y="7419975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11</xdr:col>
      <xdr:colOff>9525</xdr:colOff>
      <xdr:row>17</xdr:row>
      <xdr:rowOff>9525</xdr:rowOff>
    </xdr:from>
    <xdr:to>
      <xdr:col>13</xdr:col>
      <xdr:colOff>142875</xdr:colOff>
      <xdr:row>17</xdr:row>
      <xdr:rowOff>171450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xmlns="" id="{B31E1912-EF7D-4BE2-8331-72B56F0723D4}"/>
            </a:ext>
          </a:extLst>
        </xdr:cNvPr>
        <xdr:cNvSpPr/>
      </xdr:nvSpPr>
      <xdr:spPr>
        <a:xfrm>
          <a:off x="1895475" y="3267075"/>
          <a:ext cx="504825" cy="161925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te104\SharedDocs\MAT%20LEDGER\LEDGER%202001\PC\MATERIAL\997-MC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FC"/>
      <sheetName val="Q_SEMI_UKE_TL"/>
      <sheetName val="T_SEMI_UKE"/>
      <sheetName val="Q_CCR3601"/>
      <sheetName val="prod7"/>
      <sheetName val="T501306L"/>
      <sheetName val="RIST製造大日程_PKG出荷_"/>
      <sheetName val="DATA ARTIT 2"/>
      <sheetName val="FL QFn"/>
      <sheetName val="??????"/>
      <sheetName val="TOTAL"/>
      <sheetName val="LSI-MCR-TR "/>
      <sheetName val="Data "/>
      <sheetName val="______"/>
      <sheetName val="LTR18L"/>
      <sheetName val="DATA_ARTIT_2"/>
      <sheetName val="TPG1"/>
      <sheetName val="測定条件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"/>
  <sheetViews>
    <sheetView zoomScale="190" zoomScaleNormal="190" workbookViewId="0">
      <selection activeCell="B2" sqref="B2:B30"/>
    </sheetView>
  </sheetViews>
  <sheetFormatPr defaultRowHeight="15" x14ac:dyDescent="0.25"/>
  <cols>
    <col min="1" max="1" width="9.140625" style="1"/>
    <col min="2" max="2" width="11" style="3" bestFit="1" customWidth="1"/>
    <col min="4" max="6" width="0" hidden="1" customWidth="1"/>
    <col min="8" max="8" width="10.28515625" bestFit="1" customWidth="1"/>
    <col min="9" max="9" width="10.28515625" customWidth="1"/>
  </cols>
  <sheetData>
    <row r="1" spans="1:10" x14ac:dyDescent="0.25">
      <c r="A1" s="1" t="s">
        <v>55</v>
      </c>
      <c r="B1" s="3" t="s">
        <v>92</v>
      </c>
      <c r="E1" s="2" t="str">
        <f>IF(VLOOKUP($A$1,$H$1:$J$10,2,)="","",VLOOKUP($A$1,$H$1:$J$10,2,))</f>
        <v/>
      </c>
      <c r="F1" s="2" t="str">
        <f>IF(VLOOKUP($A$1,$H$1:$J$10,3,)="","",VLOOKUP($A$1,$H$1:$J$10,3,))</f>
        <v>TN</v>
      </c>
      <c r="H1" t="s">
        <v>0</v>
      </c>
      <c r="J1" t="s">
        <v>1</v>
      </c>
    </row>
    <row r="2" spans="1:10" x14ac:dyDescent="0.25">
      <c r="A2" s="1">
        <v>419</v>
      </c>
      <c r="B2" s="3" t="str">
        <f>IF(A2="","",$E$1&amp;(TEXT(A2,"000")&amp;$F$1))</f>
        <v>419TN</v>
      </c>
      <c r="H2" t="s">
        <v>50</v>
      </c>
      <c r="J2" t="s">
        <v>60</v>
      </c>
    </row>
    <row r="3" spans="1:10" x14ac:dyDescent="0.25">
      <c r="A3" s="1">
        <v>821</v>
      </c>
      <c r="B3" s="3" t="str">
        <f t="shared" ref="B3:B66" si="0">IF(A3="","",$E$1&amp;(TEXT(A3,"000")&amp;$F$1))</f>
        <v>821TN</v>
      </c>
      <c r="H3" t="s">
        <v>51</v>
      </c>
      <c r="J3" t="s">
        <v>63</v>
      </c>
    </row>
    <row r="4" spans="1:10" x14ac:dyDescent="0.25">
      <c r="A4" s="1">
        <v>2</v>
      </c>
      <c r="B4" s="3" t="str">
        <f t="shared" si="0"/>
        <v>002TN</v>
      </c>
      <c r="H4" t="s">
        <v>52</v>
      </c>
      <c r="J4" t="s">
        <v>61</v>
      </c>
    </row>
    <row r="5" spans="1:10" x14ac:dyDescent="0.25">
      <c r="A5" s="1">
        <v>253</v>
      </c>
      <c r="B5" s="3" t="str">
        <f t="shared" si="0"/>
        <v>253TN</v>
      </c>
      <c r="H5" t="s">
        <v>53</v>
      </c>
      <c r="I5" t="s">
        <v>65</v>
      </c>
      <c r="J5" t="s">
        <v>61</v>
      </c>
    </row>
    <row r="6" spans="1:10" x14ac:dyDescent="0.25">
      <c r="A6" s="1">
        <v>803</v>
      </c>
      <c r="B6" s="3" t="str">
        <f t="shared" si="0"/>
        <v>803TN</v>
      </c>
      <c r="H6" t="s">
        <v>54</v>
      </c>
      <c r="I6" t="s">
        <v>66</v>
      </c>
      <c r="J6" t="s">
        <v>61</v>
      </c>
    </row>
    <row r="7" spans="1:10" x14ac:dyDescent="0.25">
      <c r="A7" s="1">
        <v>242</v>
      </c>
      <c r="B7" s="3" t="str">
        <f t="shared" si="0"/>
        <v>242TN</v>
      </c>
      <c r="H7" t="s">
        <v>55</v>
      </c>
      <c r="J7" t="s">
        <v>59</v>
      </c>
    </row>
    <row r="8" spans="1:10" x14ac:dyDescent="0.25">
      <c r="A8" s="1">
        <v>303</v>
      </c>
      <c r="B8" s="3" t="str">
        <f t="shared" si="0"/>
        <v>303TN</v>
      </c>
      <c r="H8" t="s">
        <v>56</v>
      </c>
      <c r="J8" t="s">
        <v>62</v>
      </c>
    </row>
    <row r="9" spans="1:10" x14ac:dyDescent="0.25">
      <c r="A9" s="1">
        <v>1009</v>
      </c>
      <c r="B9" s="3" t="str">
        <f t="shared" si="0"/>
        <v>1009TN</v>
      </c>
      <c r="H9" t="s">
        <v>57</v>
      </c>
      <c r="J9" t="s">
        <v>64</v>
      </c>
    </row>
    <row r="10" spans="1:10" x14ac:dyDescent="0.25">
      <c r="A10" s="1">
        <v>822</v>
      </c>
      <c r="B10" s="3" t="str">
        <f t="shared" si="0"/>
        <v>822TN</v>
      </c>
      <c r="H10" t="s">
        <v>58</v>
      </c>
    </row>
    <row r="11" spans="1:10" x14ac:dyDescent="0.25">
      <c r="A11" s="1">
        <v>420</v>
      </c>
      <c r="B11" s="3" t="str">
        <f t="shared" si="0"/>
        <v>420TN</v>
      </c>
    </row>
    <row r="12" spans="1:10" x14ac:dyDescent="0.25">
      <c r="A12" s="1">
        <v>823</v>
      </c>
      <c r="B12" s="3" t="str">
        <f t="shared" si="0"/>
        <v>823TN</v>
      </c>
    </row>
    <row r="13" spans="1:10" x14ac:dyDescent="0.25">
      <c r="A13" s="1">
        <v>549</v>
      </c>
      <c r="B13" s="3" t="str">
        <f t="shared" si="0"/>
        <v>549TN</v>
      </c>
    </row>
    <row r="14" spans="1:10" x14ac:dyDescent="0.25">
      <c r="A14" s="1">
        <v>167</v>
      </c>
      <c r="B14" s="3" t="str">
        <f t="shared" si="0"/>
        <v>167TN</v>
      </c>
    </row>
    <row r="15" spans="1:10" x14ac:dyDescent="0.25">
      <c r="A15" s="1">
        <v>3</v>
      </c>
      <c r="B15" s="3" t="str">
        <f t="shared" si="0"/>
        <v>003TN</v>
      </c>
    </row>
    <row r="16" spans="1:10" x14ac:dyDescent="0.25">
      <c r="A16" s="1">
        <v>887</v>
      </c>
      <c r="B16" s="3" t="str">
        <f t="shared" si="0"/>
        <v>887TN</v>
      </c>
    </row>
    <row r="17" spans="1:2" x14ac:dyDescent="0.25">
      <c r="A17" s="1">
        <v>513</v>
      </c>
      <c r="B17" s="3" t="str">
        <f t="shared" si="0"/>
        <v>513TN</v>
      </c>
    </row>
    <row r="18" spans="1:2" x14ac:dyDescent="0.25">
      <c r="A18" s="1">
        <v>44</v>
      </c>
      <c r="B18" s="3" t="str">
        <f t="shared" si="0"/>
        <v>044TN</v>
      </c>
    </row>
    <row r="19" spans="1:2" x14ac:dyDescent="0.25">
      <c r="A19" s="1">
        <v>539</v>
      </c>
      <c r="B19" s="3" t="str">
        <f t="shared" si="0"/>
        <v>539TN</v>
      </c>
    </row>
    <row r="20" spans="1:2" x14ac:dyDescent="0.25">
      <c r="A20" s="1">
        <v>83</v>
      </c>
      <c r="B20" s="3" t="str">
        <f t="shared" si="0"/>
        <v>083TN</v>
      </c>
    </row>
    <row r="21" spans="1:2" x14ac:dyDescent="0.25">
      <c r="A21" s="1">
        <v>378</v>
      </c>
      <c r="B21" s="3" t="str">
        <f t="shared" si="0"/>
        <v>378TN</v>
      </c>
    </row>
    <row r="22" spans="1:2" x14ac:dyDescent="0.25">
      <c r="A22" s="1">
        <v>805</v>
      </c>
      <c r="B22" s="3" t="str">
        <f t="shared" si="0"/>
        <v>805TN</v>
      </c>
    </row>
    <row r="23" spans="1:2" x14ac:dyDescent="0.25">
      <c r="A23" s="1">
        <v>381</v>
      </c>
      <c r="B23" s="3" t="str">
        <f t="shared" si="0"/>
        <v>381TN</v>
      </c>
    </row>
    <row r="24" spans="1:2" x14ac:dyDescent="0.25">
      <c r="A24" s="1">
        <v>550</v>
      </c>
      <c r="B24" s="3" t="str">
        <f t="shared" si="0"/>
        <v>550TN</v>
      </c>
    </row>
    <row r="25" spans="1:2" x14ac:dyDescent="0.25">
      <c r="A25" s="1">
        <v>376</v>
      </c>
      <c r="B25" s="3" t="str">
        <f t="shared" si="0"/>
        <v>376TN</v>
      </c>
    </row>
    <row r="26" spans="1:2" x14ac:dyDescent="0.25">
      <c r="A26" s="1">
        <v>360</v>
      </c>
      <c r="B26" s="3" t="str">
        <f t="shared" si="0"/>
        <v>360TN</v>
      </c>
    </row>
    <row r="27" spans="1:2" x14ac:dyDescent="0.25">
      <c r="A27" s="1">
        <v>680</v>
      </c>
      <c r="B27" s="3" t="str">
        <f t="shared" si="0"/>
        <v>680TN</v>
      </c>
    </row>
    <row r="28" spans="1:2" x14ac:dyDescent="0.25">
      <c r="A28" s="1">
        <v>685</v>
      </c>
      <c r="B28" s="3" t="str">
        <f t="shared" si="0"/>
        <v>685TN</v>
      </c>
    </row>
    <row r="29" spans="1:2" x14ac:dyDescent="0.25">
      <c r="A29" s="1">
        <v>808</v>
      </c>
      <c r="B29" s="3" t="str">
        <f t="shared" si="0"/>
        <v>808TN</v>
      </c>
    </row>
    <row r="30" spans="1:2" x14ac:dyDescent="0.25">
      <c r="A30" s="1">
        <v>820</v>
      </c>
      <c r="B30" s="3" t="str">
        <f t="shared" si="0"/>
        <v>820TN</v>
      </c>
    </row>
    <row r="31" spans="1:2" x14ac:dyDescent="0.25">
      <c r="B31" s="3" t="str">
        <f t="shared" si="0"/>
        <v/>
      </c>
    </row>
    <row r="32" spans="1:2" x14ac:dyDescent="0.25">
      <c r="B32" s="3" t="str">
        <f t="shared" si="0"/>
        <v/>
      </c>
    </row>
    <row r="33" spans="2:2" x14ac:dyDescent="0.25">
      <c r="B33" s="3" t="str">
        <f t="shared" si="0"/>
        <v/>
      </c>
    </row>
    <row r="34" spans="2:2" x14ac:dyDescent="0.25">
      <c r="B34" s="3" t="str">
        <f t="shared" si="0"/>
        <v/>
      </c>
    </row>
    <row r="35" spans="2:2" x14ac:dyDescent="0.25">
      <c r="B35" s="3" t="str">
        <f t="shared" si="0"/>
        <v/>
      </c>
    </row>
    <row r="36" spans="2:2" x14ac:dyDescent="0.25">
      <c r="B36" s="3" t="str">
        <f t="shared" si="0"/>
        <v/>
      </c>
    </row>
    <row r="37" spans="2:2" x14ac:dyDescent="0.25">
      <c r="B37" s="3" t="str">
        <f t="shared" si="0"/>
        <v/>
      </c>
    </row>
    <row r="38" spans="2:2" x14ac:dyDescent="0.25">
      <c r="B38" s="3" t="str">
        <f t="shared" si="0"/>
        <v/>
      </c>
    </row>
    <row r="39" spans="2:2" x14ac:dyDescent="0.25">
      <c r="B39" s="3" t="str">
        <f t="shared" si="0"/>
        <v/>
      </c>
    </row>
    <row r="40" spans="2:2" x14ac:dyDescent="0.25">
      <c r="B40" s="3" t="str">
        <f t="shared" si="0"/>
        <v/>
      </c>
    </row>
    <row r="41" spans="2:2" x14ac:dyDescent="0.25">
      <c r="B41" s="3" t="str">
        <f t="shared" si="0"/>
        <v/>
      </c>
    </row>
    <row r="42" spans="2:2" x14ac:dyDescent="0.25">
      <c r="B42" s="3" t="str">
        <f t="shared" si="0"/>
        <v/>
      </c>
    </row>
    <row r="43" spans="2:2" x14ac:dyDescent="0.25">
      <c r="B43" s="3" t="str">
        <f t="shared" si="0"/>
        <v/>
      </c>
    </row>
    <row r="44" spans="2:2" x14ac:dyDescent="0.25">
      <c r="B44" s="3" t="str">
        <f t="shared" si="0"/>
        <v/>
      </c>
    </row>
    <row r="45" spans="2:2" x14ac:dyDescent="0.25">
      <c r="B45" s="3" t="str">
        <f t="shared" si="0"/>
        <v/>
      </c>
    </row>
    <row r="46" spans="2:2" x14ac:dyDescent="0.25">
      <c r="B46" s="3" t="str">
        <f t="shared" si="0"/>
        <v/>
      </c>
    </row>
    <row r="47" spans="2:2" x14ac:dyDescent="0.25">
      <c r="B47" s="3" t="str">
        <f t="shared" si="0"/>
        <v/>
      </c>
    </row>
    <row r="48" spans="2:2" x14ac:dyDescent="0.25">
      <c r="B48" s="3" t="str">
        <f t="shared" si="0"/>
        <v/>
      </c>
    </row>
    <row r="49" spans="2:2" x14ac:dyDescent="0.25">
      <c r="B49" s="3" t="str">
        <f t="shared" si="0"/>
        <v/>
      </c>
    </row>
    <row r="50" spans="2:2" x14ac:dyDescent="0.25">
      <c r="B50" s="3" t="str">
        <f t="shared" si="0"/>
        <v/>
      </c>
    </row>
    <row r="51" spans="2:2" x14ac:dyDescent="0.25">
      <c r="B51" s="3" t="str">
        <f t="shared" si="0"/>
        <v/>
      </c>
    </row>
    <row r="52" spans="2:2" x14ac:dyDescent="0.25">
      <c r="B52" s="3" t="str">
        <f t="shared" si="0"/>
        <v/>
      </c>
    </row>
    <row r="53" spans="2:2" x14ac:dyDescent="0.25">
      <c r="B53" s="3" t="str">
        <f t="shared" si="0"/>
        <v/>
      </c>
    </row>
    <row r="54" spans="2:2" x14ac:dyDescent="0.25">
      <c r="B54" s="3" t="str">
        <f t="shared" si="0"/>
        <v/>
      </c>
    </row>
    <row r="55" spans="2:2" x14ac:dyDescent="0.25">
      <c r="B55" s="3" t="str">
        <f t="shared" si="0"/>
        <v/>
      </c>
    </row>
    <row r="56" spans="2:2" x14ac:dyDescent="0.25">
      <c r="B56" s="3" t="str">
        <f t="shared" si="0"/>
        <v/>
      </c>
    </row>
    <row r="57" spans="2:2" x14ac:dyDescent="0.25">
      <c r="B57" s="3" t="str">
        <f t="shared" si="0"/>
        <v/>
      </c>
    </row>
    <row r="58" spans="2:2" x14ac:dyDescent="0.25">
      <c r="B58" s="3" t="str">
        <f t="shared" si="0"/>
        <v/>
      </c>
    </row>
    <row r="59" spans="2:2" x14ac:dyDescent="0.25">
      <c r="B59" s="3" t="str">
        <f t="shared" si="0"/>
        <v/>
      </c>
    </row>
    <row r="60" spans="2:2" x14ac:dyDescent="0.25">
      <c r="B60" s="3" t="str">
        <f t="shared" si="0"/>
        <v/>
      </c>
    </row>
    <row r="61" spans="2:2" x14ac:dyDescent="0.25">
      <c r="B61" s="3" t="str">
        <f t="shared" si="0"/>
        <v/>
      </c>
    </row>
    <row r="62" spans="2:2" x14ac:dyDescent="0.25">
      <c r="B62" s="3" t="str">
        <f t="shared" si="0"/>
        <v/>
      </c>
    </row>
    <row r="63" spans="2:2" x14ac:dyDescent="0.25">
      <c r="B63" s="3" t="str">
        <f t="shared" si="0"/>
        <v/>
      </c>
    </row>
    <row r="64" spans="2:2" x14ac:dyDescent="0.25">
      <c r="B64" s="3" t="str">
        <f t="shared" si="0"/>
        <v/>
      </c>
    </row>
    <row r="65" spans="2:2" x14ac:dyDescent="0.25">
      <c r="B65" s="3" t="str">
        <f t="shared" si="0"/>
        <v/>
      </c>
    </row>
    <row r="66" spans="2:2" x14ac:dyDescent="0.25">
      <c r="B66" s="3" t="str">
        <f t="shared" si="0"/>
        <v/>
      </c>
    </row>
    <row r="67" spans="2:2" x14ac:dyDescent="0.25">
      <c r="B67" s="3" t="str">
        <f t="shared" ref="B67:B100" si="1">IF(A67="","",$E$1&amp;(TEXT(A67,"000")&amp;$F$1))</f>
        <v/>
      </c>
    </row>
    <row r="68" spans="2:2" x14ac:dyDescent="0.25">
      <c r="B68" s="3" t="str">
        <f t="shared" si="1"/>
        <v/>
      </c>
    </row>
    <row r="69" spans="2:2" x14ac:dyDescent="0.25">
      <c r="B69" s="3" t="str">
        <f t="shared" si="1"/>
        <v/>
      </c>
    </row>
    <row r="70" spans="2:2" x14ac:dyDescent="0.25">
      <c r="B70" s="3" t="str">
        <f t="shared" si="1"/>
        <v/>
      </c>
    </row>
    <row r="71" spans="2:2" x14ac:dyDescent="0.25">
      <c r="B71" s="3" t="str">
        <f t="shared" si="1"/>
        <v/>
      </c>
    </row>
    <row r="72" spans="2:2" x14ac:dyDescent="0.25">
      <c r="B72" s="3" t="str">
        <f t="shared" si="1"/>
        <v/>
      </c>
    </row>
    <row r="73" spans="2:2" x14ac:dyDescent="0.25">
      <c r="B73" s="3" t="str">
        <f t="shared" si="1"/>
        <v/>
      </c>
    </row>
    <row r="74" spans="2:2" x14ac:dyDescent="0.25">
      <c r="B74" s="3" t="str">
        <f t="shared" si="1"/>
        <v/>
      </c>
    </row>
    <row r="75" spans="2:2" x14ac:dyDescent="0.25">
      <c r="B75" s="3" t="str">
        <f t="shared" si="1"/>
        <v/>
      </c>
    </row>
    <row r="76" spans="2:2" x14ac:dyDescent="0.25">
      <c r="B76" s="3" t="str">
        <f t="shared" si="1"/>
        <v/>
      </c>
    </row>
    <row r="77" spans="2:2" x14ac:dyDescent="0.25">
      <c r="B77" s="3" t="str">
        <f t="shared" si="1"/>
        <v/>
      </c>
    </row>
    <row r="78" spans="2:2" x14ac:dyDescent="0.25">
      <c r="B78" s="3" t="str">
        <f t="shared" si="1"/>
        <v/>
      </c>
    </row>
    <row r="79" spans="2:2" x14ac:dyDescent="0.25">
      <c r="B79" s="3" t="str">
        <f t="shared" si="1"/>
        <v/>
      </c>
    </row>
    <row r="80" spans="2:2" x14ac:dyDescent="0.25">
      <c r="B80" s="3" t="str">
        <f t="shared" si="1"/>
        <v/>
      </c>
    </row>
    <row r="81" spans="2:2" x14ac:dyDescent="0.25">
      <c r="B81" s="3" t="str">
        <f t="shared" si="1"/>
        <v/>
      </c>
    </row>
    <row r="82" spans="2:2" x14ac:dyDescent="0.25">
      <c r="B82" s="3" t="str">
        <f t="shared" si="1"/>
        <v/>
      </c>
    </row>
    <row r="83" spans="2:2" x14ac:dyDescent="0.25">
      <c r="B83" s="3" t="str">
        <f t="shared" si="1"/>
        <v/>
      </c>
    </row>
    <row r="84" spans="2:2" x14ac:dyDescent="0.25">
      <c r="B84" s="3" t="str">
        <f t="shared" si="1"/>
        <v/>
      </c>
    </row>
    <row r="85" spans="2:2" x14ac:dyDescent="0.25">
      <c r="B85" s="3" t="str">
        <f t="shared" si="1"/>
        <v/>
      </c>
    </row>
    <row r="86" spans="2:2" x14ac:dyDescent="0.25">
      <c r="B86" s="3" t="str">
        <f t="shared" si="1"/>
        <v/>
      </c>
    </row>
    <row r="87" spans="2:2" x14ac:dyDescent="0.25">
      <c r="B87" s="3" t="str">
        <f t="shared" si="1"/>
        <v/>
      </c>
    </row>
    <row r="88" spans="2:2" x14ac:dyDescent="0.25">
      <c r="B88" s="3" t="str">
        <f t="shared" si="1"/>
        <v/>
      </c>
    </row>
    <row r="89" spans="2:2" x14ac:dyDescent="0.25">
      <c r="B89" s="3" t="str">
        <f t="shared" si="1"/>
        <v/>
      </c>
    </row>
    <row r="90" spans="2:2" x14ac:dyDescent="0.25">
      <c r="B90" s="3" t="str">
        <f t="shared" si="1"/>
        <v/>
      </c>
    </row>
    <row r="91" spans="2:2" x14ac:dyDescent="0.25">
      <c r="B91" s="3" t="str">
        <f t="shared" si="1"/>
        <v/>
      </c>
    </row>
    <row r="92" spans="2:2" x14ac:dyDescent="0.25">
      <c r="B92" s="3" t="str">
        <f t="shared" si="1"/>
        <v/>
      </c>
    </row>
    <row r="93" spans="2:2" x14ac:dyDescent="0.25">
      <c r="B93" s="3" t="str">
        <f t="shared" si="1"/>
        <v/>
      </c>
    </row>
    <row r="94" spans="2:2" x14ac:dyDescent="0.25">
      <c r="B94" s="3" t="str">
        <f t="shared" si="1"/>
        <v/>
      </c>
    </row>
    <row r="95" spans="2:2" x14ac:dyDescent="0.25">
      <c r="B95" s="3" t="str">
        <f t="shared" si="1"/>
        <v/>
      </c>
    </row>
    <row r="96" spans="2:2" x14ac:dyDescent="0.25">
      <c r="B96" s="3" t="str">
        <f t="shared" si="1"/>
        <v/>
      </c>
    </row>
    <row r="97" spans="2:2" x14ac:dyDescent="0.25">
      <c r="B97" s="3" t="str">
        <f t="shared" si="1"/>
        <v/>
      </c>
    </row>
    <row r="98" spans="2:2" x14ac:dyDescent="0.25">
      <c r="B98" s="3" t="str">
        <f t="shared" si="1"/>
        <v/>
      </c>
    </row>
    <row r="99" spans="2:2" x14ac:dyDescent="0.25">
      <c r="B99" s="3" t="str">
        <f t="shared" si="1"/>
        <v/>
      </c>
    </row>
    <row r="100" spans="2:2" x14ac:dyDescent="0.25">
      <c r="B100" s="3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48"/>
  <sheetViews>
    <sheetView topLeftCell="A109" zoomScaleNormal="100" workbookViewId="0">
      <selection activeCell="D3" sqref="D3:D20"/>
    </sheetView>
  </sheetViews>
  <sheetFormatPr defaultRowHeight="14.25" x14ac:dyDescent="0.2"/>
  <cols>
    <col min="1" max="1" width="13.140625" style="60" customWidth="1"/>
    <col min="2" max="3" width="20.7109375" style="60" customWidth="1"/>
    <col min="4" max="4" width="20.7109375" style="56" customWidth="1"/>
    <col min="5" max="6" width="20.7109375" style="60" customWidth="1"/>
    <col min="7" max="7" width="16.7109375" style="60" customWidth="1"/>
    <col min="8" max="8" width="21.85546875" style="60" customWidth="1"/>
    <col min="9" max="9" width="46.85546875" style="60" customWidth="1"/>
    <col min="10" max="10" width="25.28515625" style="57" customWidth="1"/>
    <col min="11" max="11" width="9.85546875" style="63" customWidth="1"/>
    <col min="12" max="12" width="15.7109375" style="64" customWidth="1"/>
    <col min="13" max="16384" width="9.140625" style="55"/>
  </cols>
  <sheetData>
    <row r="1" spans="1:14" ht="15" x14ac:dyDescent="0.25">
      <c r="A1" s="59" t="s">
        <v>240</v>
      </c>
      <c r="B1" s="59" t="s">
        <v>243</v>
      </c>
      <c r="C1" s="59" t="s">
        <v>244</v>
      </c>
      <c r="D1" s="53" t="s">
        <v>245</v>
      </c>
      <c r="E1" s="59" t="s">
        <v>246</v>
      </c>
      <c r="F1" s="59" t="s">
        <v>242</v>
      </c>
      <c r="G1" s="59" t="s">
        <v>241</v>
      </c>
      <c r="H1" s="59" t="s">
        <v>603</v>
      </c>
      <c r="I1" s="59" t="s">
        <v>605</v>
      </c>
      <c r="J1" s="54" t="s">
        <v>530</v>
      </c>
      <c r="K1" s="61" t="s">
        <v>532</v>
      </c>
      <c r="L1" s="62" t="s">
        <v>531</v>
      </c>
      <c r="N1" t="s">
        <v>4</v>
      </c>
    </row>
    <row r="2" spans="1:14" ht="15" x14ac:dyDescent="0.25">
      <c r="A2" t="s">
        <v>2</v>
      </c>
      <c r="B2" s="60" t="s">
        <v>496</v>
      </c>
      <c r="C2" s="60" t="s">
        <v>247</v>
      </c>
      <c r="D2" s="56" t="s">
        <v>2</v>
      </c>
      <c r="E2" s="60" t="s">
        <v>466</v>
      </c>
      <c r="F2" s="60" t="s">
        <v>271</v>
      </c>
      <c r="G2" s="60" t="s">
        <v>49</v>
      </c>
      <c r="H2" s="60" t="str">
        <f>VLOOKUP($G2,Sheet3!$A$1:$C$6,2,)</f>
        <v>RAFAEL CRUCERO</v>
      </c>
      <c r="I2" s="60" t="str">
        <f>VLOOKUP($G2,Sheet3!$A$1:$C$6,3,)</f>
        <v>LSI HQ PD DIV. PD THD/SOP ASSY DEPT.</v>
      </c>
      <c r="J2" s="57">
        <v>45788</v>
      </c>
      <c r="K2" s="63">
        <f t="shared" ref="K2:K65" ca="1" si="0">ABS(J2-TODAY())</f>
        <v>131</v>
      </c>
      <c r="L2" s="64" t="str">
        <f ca="1">IF(K2&gt;=365,"EXPIRED","UPDATED")</f>
        <v>UPDATED</v>
      </c>
    </row>
    <row r="3" spans="1:14" ht="15" x14ac:dyDescent="0.25">
      <c r="A3" t="s">
        <v>3</v>
      </c>
      <c r="B3" s="60" t="s">
        <v>527</v>
      </c>
      <c r="C3" s="60" t="s">
        <v>247</v>
      </c>
      <c r="D3" s="56" t="s">
        <v>3</v>
      </c>
      <c r="E3" s="60" t="s">
        <v>466</v>
      </c>
      <c r="F3" s="60" t="s">
        <v>252</v>
      </c>
      <c r="G3" s="60" t="s">
        <v>49</v>
      </c>
      <c r="H3" s="60" t="str">
        <f>VLOOKUP($G3,Sheet3!$A$1:$C$6,2,)</f>
        <v>RAFAEL CRUCERO</v>
      </c>
      <c r="I3" s="60" t="str">
        <f>VLOOKUP($G3,Sheet3!$A$1:$C$6,3,)</f>
        <v>LSI HQ PD DIV. PD THD/SOP ASSY DEPT.</v>
      </c>
      <c r="J3" s="57">
        <v>45932</v>
      </c>
      <c r="K3" s="63">
        <f t="shared" ca="1" si="0"/>
        <v>13</v>
      </c>
      <c r="L3" s="64" t="str">
        <f t="shared" ref="L3:L56" ca="1" si="1">IF(K3&gt;=365,"EXPIRED","UPDATED")</f>
        <v>UPDATED</v>
      </c>
    </row>
    <row r="4" spans="1:14" ht="15" x14ac:dyDescent="0.25">
      <c r="A4" t="s">
        <v>4</v>
      </c>
      <c r="B4" s="60" t="s">
        <v>484</v>
      </c>
      <c r="C4" s="60" t="s">
        <v>247</v>
      </c>
      <c r="D4" s="56" t="s">
        <v>0</v>
      </c>
      <c r="E4" s="60" t="s">
        <v>466</v>
      </c>
      <c r="F4" s="60" t="s">
        <v>260</v>
      </c>
      <c r="G4" s="60" t="s">
        <v>49</v>
      </c>
      <c r="H4" s="60" t="str">
        <f>VLOOKUP($G4,Sheet3!$A$1:$C$6,2,)</f>
        <v>RAFAEL CRUCERO</v>
      </c>
      <c r="I4" s="60" t="str">
        <f>VLOOKUP($G4,Sheet3!$A$1:$C$6,3,)</f>
        <v>LSI HQ PD DIV. PD THD/SOP ASSY DEPT.</v>
      </c>
      <c r="J4" s="57">
        <v>46032</v>
      </c>
      <c r="K4" s="63">
        <f t="shared" ca="1" si="0"/>
        <v>113</v>
      </c>
      <c r="L4" s="64" t="str">
        <f t="shared" ca="1" si="1"/>
        <v>UPDATED</v>
      </c>
    </row>
    <row r="5" spans="1:14" ht="15" x14ac:dyDescent="0.25">
      <c r="A5" t="s">
        <v>5</v>
      </c>
      <c r="B5" s="60" t="s">
        <v>529</v>
      </c>
      <c r="C5" s="60" t="s">
        <v>247</v>
      </c>
      <c r="D5" s="56" t="s">
        <v>0</v>
      </c>
      <c r="E5" s="60" t="s">
        <v>466</v>
      </c>
      <c r="F5" s="60" t="s">
        <v>252</v>
      </c>
      <c r="G5" s="60" t="s">
        <v>49</v>
      </c>
      <c r="H5" s="60" t="str">
        <f>VLOOKUP($G5,Sheet3!$A$1:$C$6,2,)</f>
        <v>RAFAEL CRUCERO</v>
      </c>
      <c r="I5" s="60" t="str">
        <f>VLOOKUP($G5,Sheet3!$A$1:$C$6,3,)</f>
        <v>LSI HQ PD DIV. PD THD/SOP ASSY DEPT.</v>
      </c>
      <c r="J5" s="57">
        <v>45583</v>
      </c>
      <c r="K5" s="63">
        <f t="shared" ca="1" si="0"/>
        <v>336</v>
      </c>
      <c r="L5" s="64" t="str">
        <f t="shared" ca="1" si="1"/>
        <v>UPDATED</v>
      </c>
    </row>
    <row r="6" spans="1:14" ht="15" x14ac:dyDescent="0.25">
      <c r="A6" t="s">
        <v>6</v>
      </c>
      <c r="B6" s="60" t="s">
        <v>508</v>
      </c>
      <c r="C6" s="60" t="s">
        <v>247</v>
      </c>
      <c r="D6" s="56" t="s">
        <v>0</v>
      </c>
      <c r="E6" s="60" t="s">
        <v>466</v>
      </c>
      <c r="F6" s="60" t="s">
        <v>255</v>
      </c>
      <c r="G6" s="60" t="s">
        <v>49</v>
      </c>
      <c r="H6" s="60" t="str">
        <f>VLOOKUP($G6,Sheet3!$A$1:$C$6,2,)</f>
        <v>RAFAEL CRUCERO</v>
      </c>
      <c r="I6" s="60" t="str">
        <f>VLOOKUP($G6,Sheet3!$A$1:$C$6,3,)</f>
        <v>LSI HQ PD DIV. PD THD/SOP ASSY DEPT.</v>
      </c>
      <c r="J6" s="57">
        <v>46040</v>
      </c>
      <c r="K6" s="63">
        <f t="shared" ca="1" si="0"/>
        <v>121</v>
      </c>
      <c r="L6" s="64" t="str">
        <f t="shared" ca="1" si="1"/>
        <v>UPDATED</v>
      </c>
    </row>
    <row r="7" spans="1:14" ht="15" x14ac:dyDescent="0.25">
      <c r="A7" t="s">
        <v>7</v>
      </c>
      <c r="B7" s="60" t="s">
        <v>511</v>
      </c>
      <c r="C7" s="60" t="s">
        <v>247</v>
      </c>
      <c r="D7" s="56" t="s">
        <v>0</v>
      </c>
      <c r="E7" s="60" t="s">
        <v>466</v>
      </c>
      <c r="F7" s="60" t="s">
        <v>262</v>
      </c>
      <c r="G7" s="60" t="s">
        <v>49</v>
      </c>
      <c r="H7" s="60" t="str">
        <f>VLOOKUP($G7,Sheet3!$A$1:$C$6,2,)</f>
        <v>RAFAEL CRUCERO</v>
      </c>
      <c r="I7" s="60" t="str">
        <f>VLOOKUP($G7,Sheet3!$A$1:$C$6,3,)</f>
        <v>LSI HQ PD DIV. PD THD/SOP ASSY DEPT.</v>
      </c>
      <c r="J7" s="57">
        <v>45676</v>
      </c>
      <c r="K7" s="63">
        <f t="shared" ca="1" si="0"/>
        <v>243</v>
      </c>
      <c r="L7" s="64" t="str">
        <f t="shared" ca="1" si="1"/>
        <v>UPDATED</v>
      </c>
    </row>
    <row r="8" spans="1:14" ht="15" x14ac:dyDescent="0.25">
      <c r="A8" t="s">
        <v>8</v>
      </c>
      <c r="B8" s="60" t="s">
        <v>473</v>
      </c>
      <c r="C8" s="60" t="s">
        <v>247</v>
      </c>
      <c r="D8" s="56" t="s">
        <v>0</v>
      </c>
      <c r="E8" s="60" t="s">
        <v>466</v>
      </c>
      <c r="F8" s="60" t="s">
        <v>271</v>
      </c>
      <c r="G8" s="60" t="s">
        <v>49</v>
      </c>
      <c r="H8" s="60" t="str">
        <f>VLOOKUP($G8,Sheet3!$A$1:$C$6,2,)</f>
        <v>RAFAEL CRUCERO</v>
      </c>
      <c r="I8" s="60" t="str">
        <f>VLOOKUP($G8,Sheet3!$A$1:$C$6,3,)</f>
        <v>LSI HQ PD DIV. PD THD/SOP ASSY DEPT.</v>
      </c>
      <c r="J8" s="57">
        <v>45699</v>
      </c>
      <c r="K8" s="63">
        <f t="shared" ca="1" si="0"/>
        <v>220</v>
      </c>
      <c r="L8" s="64" t="str">
        <f t="shared" ca="1" si="1"/>
        <v>UPDATED</v>
      </c>
      <c r="M8" s="58"/>
    </row>
    <row r="9" spans="1:14" ht="15" x14ac:dyDescent="0.25">
      <c r="A9" t="s">
        <v>9</v>
      </c>
      <c r="B9" s="60" t="s">
        <v>486</v>
      </c>
      <c r="C9" s="60" t="s">
        <v>247</v>
      </c>
      <c r="D9" s="56" t="s">
        <v>0</v>
      </c>
      <c r="E9" s="60" t="s">
        <v>466</v>
      </c>
      <c r="F9" s="60" t="s">
        <v>250</v>
      </c>
      <c r="G9" s="60" t="s">
        <v>49</v>
      </c>
      <c r="H9" s="60" t="str">
        <f>VLOOKUP($G9,Sheet3!$A$1:$C$6,2,)</f>
        <v>RAFAEL CRUCERO</v>
      </c>
      <c r="I9" s="60" t="str">
        <f>VLOOKUP($G9,Sheet3!$A$1:$C$6,3,)</f>
        <v>LSI HQ PD DIV. PD THD/SOP ASSY DEPT.</v>
      </c>
      <c r="J9" s="57">
        <v>45662</v>
      </c>
      <c r="K9" s="63">
        <f t="shared" ca="1" si="0"/>
        <v>257</v>
      </c>
      <c r="L9" s="64" t="str">
        <f t="shared" ca="1" si="1"/>
        <v>UPDATED</v>
      </c>
    </row>
    <row r="10" spans="1:14" ht="15" x14ac:dyDescent="0.25">
      <c r="A10" t="s">
        <v>10</v>
      </c>
      <c r="B10" s="60" t="s">
        <v>475</v>
      </c>
      <c r="C10" s="60" t="s">
        <v>247</v>
      </c>
      <c r="D10" s="56" t="s">
        <v>0</v>
      </c>
      <c r="E10" s="60" t="s">
        <v>466</v>
      </c>
      <c r="F10" s="60" t="s">
        <v>255</v>
      </c>
      <c r="G10" s="60" t="s">
        <v>49</v>
      </c>
      <c r="H10" s="60" t="str">
        <f>VLOOKUP($G10,Sheet3!$A$1:$C$6,2,)</f>
        <v>RAFAEL CRUCERO</v>
      </c>
      <c r="I10" s="60" t="str">
        <f>VLOOKUP($G10,Sheet3!$A$1:$C$6,3,)</f>
        <v>LSI HQ PD DIV. PD THD/SOP ASSY DEPT.</v>
      </c>
      <c r="J10" s="57">
        <v>45585</v>
      </c>
      <c r="K10" s="63">
        <f t="shared" ca="1" si="0"/>
        <v>334</v>
      </c>
      <c r="L10" s="64" t="str">
        <f t="shared" ca="1" si="1"/>
        <v>UPDATED</v>
      </c>
    </row>
    <row r="11" spans="1:14" ht="15" x14ac:dyDescent="0.25">
      <c r="A11" t="s">
        <v>11</v>
      </c>
      <c r="B11" s="60" t="s">
        <v>482</v>
      </c>
      <c r="C11" s="60" t="s">
        <v>247</v>
      </c>
      <c r="D11" s="56" t="s">
        <v>0</v>
      </c>
      <c r="E11" s="60" t="s">
        <v>466</v>
      </c>
      <c r="F11" s="60" t="s">
        <v>260</v>
      </c>
      <c r="G11" s="60" t="s">
        <v>49</v>
      </c>
      <c r="H11" s="60" t="str">
        <f>VLOOKUP($G11,Sheet3!$A$1:$C$6,2,)</f>
        <v>RAFAEL CRUCERO</v>
      </c>
      <c r="I11" s="60" t="str">
        <f>VLOOKUP($G11,Sheet3!$A$1:$C$6,3,)</f>
        <v>LSI HQ PD DIV. PD THD/SOP ASSY DEPT.</v>
      </c>
      <c r="J11" s="57">
        <v>45787</v>
      </c>
      <c r="K11" s="63">
        <f t="shared" ca="1" si="0"/>
        <v>132</v>
      </c>
      <c r="L11" s="64" t="str">
        <f t="shared" ca="1" si="1"/>
        <v>UPDATED</v>
      </c>
    </row>
    <row r="12" spans="1:14" ht="15" x14ac:dyDescent="0.25">
      <c r="A12" t="s">
        <v>12</v>
      </c>
      <c r="B12" s="60" t="s">
        <v>472</v>
      </c>
      <c r="C12" s="60" t="s">
        <v>247</v>
      </c>
      <c r="D12" s="56" t="s">
        <v>0</v>
      </c>
      <c r="E12" s="60" t="s">
        <v>466</v>
      </c>
      <c r="F12" s="60" t="s">
        <v>260</v>
      </c>
      <c r="G12" s="60" t="s">
        <v>49</v>
      </c>
      <c r="H12" s="60" t="str">
        <f>VLOOKUP($G12,Sheet3!$A$1:$C$6,2,)</f>
        <v>RAFAEL CRUCERO</v>
      </c>
      <c r="I12" s="60" t="str">
        <f>VLOOKUP($G12,Sheet3!$A$1:$C$6,3,)</f>
        <v>LSI HQ PD DIV. PD THD/SOP ASSY DEPT.</v>
      </c>
      <c r="J12" s="57">
        <v>45696</v>
      </c>
      <c r="K12" s="63">
        <f t="shared" ca="1" si="0"/>
        <v>223</v>
      </c>
      <c r="L12" s="64" t="str">
        <f t="shared" ca="1" si="1"/>
        <v>UPDATED</v>
      </c>
    </row>
    <row r="13" spans="1:14" ht="15" x14ac:dyDescent="0.25">
      <c r="A13" t="s">
        <v>13</v>
      </c>
      <c r="B13" s="60" t="s">
        <v>528</v>
      </c>
      <c r="C13" s="60" t="s">
        <v>247</v>
      </c>
      <c r="D13" s="56" t="s">
        <v>0</v>
      </c>
      <c r="E13" s="60" t="s">
        <v>466</v>
      </c>
      <c r="F13" s="60" t="s">
        <v>260</v>
      </c>
      <c r="G13" s="60" t="s">
        <v>49</v>
      </c>
      <c r="H13" s="60" t="str">
        <f>VLOOKUP($G13,Sheet3!$A$1:$C$6,2,)</f>
        <v>RAFAEL CRUCERO</v>
      </c>
      <c r="I13" s="60" t="str">
        <f>VLOOKUP($G13,Sheet3!$A$1:$C$6,3,)</f>
        <v>LSI HQ PD DIV. PD THD/SOP ASSY DEPT.</v>
      </c>
      <c r="J13" s="57">
        <v>45583</v>
      </c>
      <c r="K13" s="63">
        <f t="shared" ca="1" si="0"/>
        <v>336</v>
      </c>
      <c r="L13" s="64" t="str">
        <f t="shared" ca="1" si="1"/>
        <v>UPDATED</v>
      </c>
    </row>
    <row r="14" spans="1:14" ht="15" x14ac:dyDescent="0.25">
      <c r="A14" t="s">
        <v>14</v>
      </c>
      <c r="B14" s="60" t="s">
        <v>498</v>
      </c>
      <c r="C14" s="60" t="s">
        <v>247</v>
      </c>
      <c r="D14" s="56" t="s">
        <v>0</v>
      </c>
      <c r="E14" s="60" t="s">
        <v>466</v>
      </c>
      <c r="F14" s="60" t="s">
        <v>252</v>
      </c>
      <c r="G14" s="60" t="s">
        <v>49</v>
      </c>
      <c r="H14" s="60" t="str">
        <f>VLOOKUP($G14,Sheet3!$A$1:$C$6,2,)</f>
        <v>RAFAEL CRUCERO</v>
      </c>
      <c r="I14" s="60" t="str">
        <f>VLOOKUP($G14,Sheet3!$A$1:$C$6,3,)</f>
        <v>LSI HQ PD DIV. PD THD/SOP ASSY DEPT.</v>
      </c>
      <c r="J14" s="57">
        <v>45506</v>
      </c>
      <c r="K14" s="63">
        <f t="shared" ca="1" si="0"/>
        <v>413</v>
      </c>
      <c r="L14" s="64" t="str">
        <f t="shared" ca="1" si="1"/>
        <v>EXPIRED</v>
      </c>
    </row>
    <row r="15" spans="1:14" ht="15" x14ac:dyDescent="0.25">
      <c r="A15" t="s">
        <v>15</v>
      </c>
      <c r="B15" s="60" t="s">
        <v>505</v>
      </c>
      <c r="C15" s="60" t="s">
        <v>247</v>
      </c>
      <c r="D15" s="56" t="s">
        <v>0</v>
      </c>
      <c r="E15" s="60" t="s">
        <v>466</v>
      </c>
      <c r="F15" s="60" t="s">
        <v>255</v>
      </c>
      <c r="G15" s="60" t="s">
        <v>49</v>
      </c>
      <c r="H15" s="60" t="str">
        <f>VLOOKUP($G15,Sheet3!$A$1:$C$6,2,)</f>
        <v>RAFAEL CRUCERO</v>
      </c>
      <c r="I15" s="60" t="str">
        <f>VLOOKUP($G15,Sheet3!$A$1:$C$6,3,)</f>
        <v>LSI HQ PD DIV. PD THD/SOP ASSY DEPT.</v>
      </c>
      <c r="J15" s="57">
        <v>45508</v>
      </c>
      <c r="K15" s="63">
        <f t="shared" ca="1" si="0"/>
        <v>411</v>
      </c>
      <c r="L15" s="64" t="str">
        <f t="shared" ca="1" si="1"/>
        <v>EXPIRED</v>
      </c>
    </row>
    <row r="16" spans="1:14" ht="15" x14ac:dyDescent="0.25">
      <c r="A16" t="s">
        <v>16</v>
      </c>
      <c r="B16" s="60" t="s">
        <v>474</v>
      </c>
      <c r="C16" s="60" t="s">
        <v>247</v>
      </c>
      <c r="D16" s="56" t="s">
        <v>0</v>
      </c>
      <c r="E16" s="60" t="s">
        <v>466</v>
      </c>
      <c r="F16" s="60" t="s">
        <v>255</v>
      </c>
      <c r="G16" s="60" t="s">
        <v>49</v>
      </c>
      <c r="H16" s="60" t="str">
        <f>VLOOKUP($G16,Sheet3!$A$1:$C$6,2,)</f>
        <v>RAFAEL CRUCERO</v>
      </c>
      <c r="I16" s="60" t="str">
        <f>VLOOKUP($G16,Sheet3!$A$1:$C$6,3,)</f>
        <v>LSI HQ PD DIV. PD THD/SOP ASSY DEPT.</v>
      </c>
      <c r="J16" s="57">
        <v>45700</v>
      </c>
      <c r="K16" s="63">
        <f t="shared" ca="1" si="0"/>
        <v>219</v>
      </c>
      <c r="L16" s="64" t="str">
        <f t="shared" ca="1" si="1"/>
        <v>UPDATED</v>
      </c>
    </row>
    <row r="17" spans="1:12" ht="15" x14ac:dyDescent="0.25">
      <c r="A17" t="s">
        <v>17</v>
      </c>
      <c r="B17" s="60" t="s">
        <v>507</v>
      </c>
      <c r="C17" s="60" t="s">
        <v>247</v>
      </c>
      <c r="D17" s="56" t="s">
        <v>0</v>
      </c>
      <c r="E17" s="60" t="s">
        <v>466</v>
      </c>
      <c r="F17" s="60" t="s">
        <v>255</v>
      </c>
      <c r="G17" s="60" t="s">
        <v>49</v>
      </c>
      <c r="H17" s="60" t="str">
        <f>VLOOKUP($G17,Sheet3!$A$1:$C$6,2,)</f>
        <v>RAFAEL CRUCERO</v>
      </c>
      <c r="I17" s="60" t="str">
        <f>VLOOKUP($G17,Sheet3!$A$1:$C$6,3,)</f>
        <v>LSI HQ PD DIV. PD THD/SOP ASSY DEPT.</v>
      </c>
      <c r="J17" s="57">
        <v>45675</v>
      </c>
      <c r="K17" s="63">
        <f t="shared" ca="1" si="0"/>
        <v>244</v>
      </c>
      <c r="L17" s="64" t="str">
        <f t="shared" ca="1" si="1"/>
        <v>UPDATED</v>
      </c>
    </row>
    <row r="18" spans="1:12" ht="15" x14ac:dyDescent="0.25">
      <c r="A18" t="s">
        <v>18</v>
      </c>
      <c r="B18" s="60" t="s">
        <v>509</v>
      </c>
      <c r="C18" s="60" t="s">
        <v>247</v>
      </c>
      <c r="D18" s="56" t="s">
        <v>0</v>
      </c>
      <c r="E18" s="60" t="s">
        <v>466</v>
      </c>
      <c r="F18" s="60" t="s">
        <v>260</v>
      </c>
      <c r="G18" s="60" t="s">
        <v>49</v>
      </c>
      <c r="H18" s="60" t="str">
        <f>VLOOKUP($G18,Sheet3!$A$1:$C$6,2,)</f>
        <v>RAFAEL CRUCERO</v>
      </c>
      <c r="I18" s="60" t="str">
        <f>VLOOKUP($G18,Sheet3!$A$1:$C$6,3,)</f>
        <v>LSI HQ PD DIV. PD THD/SOP ASSY DEPT.</v>
      </c>
      <c r="J18" s="57">
        <v>45676</v>
      </c>
      <c r="K18" s="63">
        <f t="shared" ca="1" si="0"/>
        <v>243</v>
      </c>
      <c r="L18" s="64" t="str">
        <f t="shared" ca="1" si="1"/>
        <v>UPDATED</v>
      </c>
    </row>
    <row r="19" spans="1:12" ht="15" x14ac:dyDescent="0.25">
      <c r="A19" t="s">
        <v>19</v>
      </c>
      <c r="B19" s="60" t="s">
        <v>513</v>
      </c>
      <c r="C19" s="60" t="s">
        <v>247</v>
      </c>
      <c r="D19" s="56" t="s">
        <v>0</v>
      </c>
      <c r="E19" s="60" t="s">
        <v>466</v>
      </c>
      <c r="F19" s="60" t="s">
        <v>255</v>
      </c>
      <c r="G19" s="60" t="s">
        <v>49</v>
      </c>
      <c r="H19" s="60" t="str">
        <f>VLOOKUP($G19,Sheet3!$A$1:$C$6,2,)</f>
        <v>RAFAEL CRUCERO</v>
      </c>
      <c r="I19" s="60" t="str">
        <f>VLOOKUP($G19,Sheet3!$A$1:$C$6,3,)</f>
        <v>LSI HQ PD DIV. PD THD/SOP ASSY DEPT.</v>
      </c>
      <c r="J19" s="57">
        <v>45803</v>
      </c>
      <c r="K19" s="63">
        <f t="shared" ca="1" si="0"/>
        <v>116</v>
      </c>
      <c r="L19" s="64" t="str">
        <f t="shared" ca="1" si="1"/>
        <v>UPDATED</v>
      </c>
    </row>
    <row r="20" spans="1:12" ht="15" x14ac:dyDescent="0.25">
      <c r="A20" t="s">
        <v>20</v>
      </c>
      <c r="B20" s="60" t="s">
        <v>518</v>
      </c>
      <c r="C20" s="60" t="s">
        <v>247</v>
      </c>
      <c r="D20" s="56" t="s">
        <v>0</v>
      </c>
      <c r="E20" s="60" t="s">
        <v>466</v>
      </c>
      <c r="F20" s="60" t="s">
        <v>260</v>
      </c>
      <c r="G20" s="60" t="s">
        <v>49</v>
      </c>
      <c r="H20" s="60" t="str">
        <f>VLOOKUP($G20,Sheet3!$A$1:$C$6,2,)</f>
        <v>RAFAEL CRUCERO</v>
      </c>
      <c r="I20" s="60" t="str">
        <f>VLOOKUP($G20,Sheet3!$A$1:$C$6,3,)</f>
        <v>LSI HQ PD DIV. PD THD/SOP ASSY DEPT.</v>
      </c>
      <c r="J20" s="57">
        <v>45517</v>
      </c>
      <c r="K20" s="63">
        <f t="shared" ca="1" si="0"/>
        <v>402</v>
      </c>
      <c r="L20" s="64" t="str">
        <f t="shared" ca="1" si="1"/>
        <v>EXPIRED</v>
      </c>
    </row>
    <row r="21" spans="1:12" ht="15" x14ac:dyDescent="0.25">
      <c r="A21" t="s">
        <v>21</v>
      </c>
      <c r="B21" s="60" t="s">
        <v>476</v>
      </c>
      <c r="C21" s="60" t="s">
        <v>247</v>
      </c>
      <c r="D21" s="56" t="s">
        <v>0</v>
      </c>
      <c r="E21" s="60" t="s">
        <v>466</v>
      </c>
      <c r="F21" s="60" t="s">
        <v>260</v>
      </c>
      <c r="G21" s="60" t="s">
        <v>49</v>
      </c>
      <c r="H21" s="60" t="str">
        <f>VLOOKUP($G21,Sheet3!$A$1:$C$6,2,)</f>
        <v>RAFAEL CRUCERO</v>
      </c>
      <c r="I21" s="60" t="str">
        <f>VLOOKUP($G21,Sheet3!$A$1:$C$6,3,)</f>
        <v>LSI HQ PD DIV. PD THD/SOP ASSY DEPT.</v>
      </c>
      <c r="J21" s="57">
        <v>45558</v>
      </c>
      <c r="K21" s="63">
        <f t="shared" ca="1" si="0"/>
        <v>361</v>
      </c>
      <c r="L21" s="64" t="str">
        <f t="shared" ca="1" si="1"/>
        <v>UPDATED</v>
      </c>
    </row>
    <row r="22" spans="1:12" ht="15" x14ac:dyDescent="0.25">
      <c r="A22" t="s">
        <v>22</v>
      </c>
      <c r="B22" s="60" t="s">
        <v>514</v>
      </c>
      <c r="C22" s="60" t="s">
        <v>247</v>
      </c>
      <c r="D22" s="56" t="s">
        <v>0</v>
      </c>
      <c r="E22" s="60" t="s">
        <v>466</v>
      </c>
      <c r="F22" s="60" t="s">
        <v>255</v>
      </c>
      <c r="G22" s="60" t="s">
        <v>49</v>
      </c>
      <c r="H22" s="60" t="str">
        <f>VLOOKUP($G22,Sheet3!$A$1:$C$6,2,)</f>
        <v>RAFAEL CRUCERO</v>
      </c>
      <c r="I22" s="60" t="str">
        <f>VLOOKUP($G22,Sheet3!$A$1:$C$6,3,)</f>
        <v>LSI HQ PD DIV. PD THD/SOP ASSY DEPT.</v>
      </c>
      <c r="J22" s="57">
        <v>45811</v>
      </c>
      <c r="K22" s="63">
        <f t="shared" ca="1" si="0"/>
        <v>108</v>
      </c>
      <c r="L22" s="64" t="str">
        <f t="shared" ca="1" si="1"/>
        <v>UPDATED</v>
      </c>
    </row>
    <row r="23" spans="1:12" ht="15" x14ac:dyDescent="0.25">
      <c r="A23" t="s">
        <v>23</v>
      </c>
      <c r="B23" s="60" t="s">
        <v>525</v>
      </c>
      <c r="C23" s="60" t="s">
        <v>247</v>
      </c>
      <c r="D23" s="56" t="s">
        <v>0</v>
      </c>
      <c r="E23" s="60" t="s">
        <v>466</v>
      </c>
      <c r="F23" s="60" t="s">
        <v>252</v>
      </c>
      <c r="G23" s="60" t="s">
        <v>49</v>
      </c>
      <c r="H23" s="60" t="str">
        <f>VLOOKUP($G23,Sheet3!$A$1:$C$6,2,)</f>
        <v>RAFAEL CRUCERO</v>
      </c>
      <c r="I23" s="60" t="str">
        <f>VLOOKUP($G23,Sheet3!$A$1:$C$6,3,)</f>
        <v>LSI HQ PD DIV. PD THD/SOP ASSY DEPT.</v>
      </c>
      <c r="J23" s="57">
        <v>45523</v>
      </c>
      <c r="K23" s="63">
        <f t="shared" ca="1" si="0"/>
        <v>396</v>
      </c>
      <c r="L23" s="64" t="str">
        <f t="shared" ca="1" si="1"/>
        <v>EXPIRED</v>
      </c>
    </row>
    <row r="24" spans="1:12" ht="15" x14ac:dyDescent="0.25">
      <c r="A24" t="s">
        <v>24</v>
      </c>
      <c r="B24" s="60" t="s">
        <v>471</v>
      </c>
      <c r="C24" s="60" t="s">
        <v>247</v>
      </c>
      <c r="D24" s="56" t="s">
        <v>0</v>
      </c>
      <c r="E24" s="60" t="s">
        <v>466</v>
      </c>
      <c r="F24" s="60" t="s">
        <v>260</v>
      </c>
      <c r="G24" s="60" t="s">
        <v>49</v>
      </c>
      <c r="H24" s="60" t="str">
        <f>VLOOKUP($G24,Sheet3!$A$1:$C$6,2,)</f>
        <v>RAFAEL CRUCERO</v>
      </c>
      <c r="I24" s="60" t="str">
        <f>VLOOKUP($G24,Sheet3!$A$1:$C$6,3,)</f>
        <v>LSI HQ PD DIV. PD THD/SOP ASSY DEPT.</v>
      </c>
      <c r="J24" s="57">
        <v>45697</v>
      </c>
      <c r="K24" s="63">
        <f t="shared" ca="1" si="0"/>
        <v>222</v>
      </c>
      <c r="L24" s="64" t="str">
        <f t="shared" ca="1" si="1"/>
        <v>UPDATED</v>
      </c>
    </row>
    <row r="25" spans="1:12" ht="15" x14ac:dyDescent="0.25">
      <c r="A25" t="s">
        <v>25</v>
      </c>
      <c r="B25" s="60" t="s">
        <v>526</v>
      </c>
      <c r="C25" s="60" t="s">
        <v>247</v>
      </c>
      <c r="D25" s="56" t="s">
        <v>0</v>
      </c>
      <c r="E25" s="60" t="s">
        <v>466</v>
      </c>
      <c r="F25" s="60" t="s">
        <v>260</v>
      </c>
      <c r="G25" s="60" t="s">
        <v>49</v>
      </c>
      <c r="H25" s="60" t="str">
        <f>VLOOKUP($G25,Sheet3!$A$1:$C$6,2,)</f>
        <v>RAFAEL CRUCERO</v>
      </c>
      <c r="I25" s="60" t="str">
        <f>VLOOKUP($G25,Sheet3!$A$1:$C$6,3,)</f>
        <v>LSI HQ PD DIV. PD THD/SOP ASSY DEPT.</v>
      </c>
      <c r="J25" s="57">
        <v>45523</v>
      </c>
      <c r="K25" s="63">
        <f t="shared" ca="1" si="0"/>
        <v>396</v>
      </c>
      <c r="L25" s="64" t="str">
        <f t="shared" ca="1" si="1"/>
        <v>EXPIRED</v>
      </c>
    </row>
    <row r="26" spans="1:12" ht="15" x14ac:dyDescent="0.25">
      <c r="A26" t="s">
        <v>26</v>
      </c>
      <c r="B26" s="60" t="s">
        <v>504</v>
      </c>
      <c r="C26" s="60" t="s">
        <v>247</v>
      </c>
      <c r="D26" s="56" t="s">
        <v>0</v>
      </c>
      <c r="E26" s="60" t="s">
        <v>466</v>
      </c>
      <c r="F26" s="60" t="s">
        <v>252</v>
      </c>
      <c r="G26" s="60" t="s">
        <v>49</v>
      </c>
      <c r="H26" s="60" t="str">
        <f>VLOOKUP($G26,Sheet3!$A$1:$C$6,2,)</f>
        <v>RAFAEL CRUCERO</v>
      </c>
      <c r="I26" s="60" t="str">
        <f>VLOOKUP($G26,Sheet3!$A$1:$C$6,3,)</f>
        <v>LSI HQ PD DIV. PD THD/SOP ASSY DEPT.</v>
      </c>
      <c r="J26" s="57">
        <v>45513</v>
      </c>
      <c r="K26" s="63">
        <f t="shared" ca="1" si="0"/>
        <v>406</v>
      </c>
      <c r="L26" s="64" t="str">
        <f t="shared" ca="1" si="1"/>
        <v>EXPIRED</v>
      </c>
    </row>
    <row r="27" spans="1:12" ht="15" x14ac:dyDescent="0.25">
      <c r="A27" t="s">
        <v>27</v>
      </c>
      <c r="B27" s="60" t="s">
        <v>468</v>
      </c>
      <c r="C27" s="60" t="s">
        <v>247</v>
      </c>
      <c r="D27" s="56" t="s">
        <v>0</v>
      </c>
      <c r="E27" s="60" t="s">
        <v>466</v>
      </c>
      <c r="F27" s="60" t="s">
        <v>271</v>
      </c>
      <c r="G27" s="60" t="s">
        <v>49</v>
      </c>
      <c r="H27" s="60" t="str">
        <f>VLOOKUP($G27,Sheet3!$A$1:$C$6,2,)</f>
        <v>RAFAEL CRUCERO</v>
      </c>
      <c r="I27" s="60" t="str">
        <f>VLOOKUP($G27,Sheet3!$A$1:$C$6,3,)</f>
        <v>LSI HQ PD DIV. PD THD/SOP ASSY DEPT.</v>
      </c>
      <c r="J27" s="57">
        <v>45688</v>
      </c>
      <c r="K27" s="63">
        <f t="shared" ca="1" si="0"/>
        <v>231</v>
      </c>
      <c r="L27" s="64" t="str">
        <f t="shared" ca="1" si="1"/>
        <v>UPDATED</v>
      </c>
    </row>
    <row r="28" spans="1:12" ht="15" x14ac:dyDescent="0.25">
      <c r="A28" t="s">
        <v>28</v>
      </c>
      <c r="B28" s="60" t="s">
        <v>501</v>
      </c>
      <c r="C28" s="60" t="s">
        <v>247</v>
      </c>
      <c r="D28" s="56" t="s">
        <v>0</v>
      </c>
      <c r="E28" s="60" t="s">
        <v>466</v>
      </c>
      <c r="F28" s="60" t="s">
        <v>260</v>
      </c>
      <c r="G28" s="60" t="s">
        <v>49</v>
      </c>
      <c r="H28" s="60" t="str">
        <f>VLOOKUP($G28,Sheet3!$A$1:$C$6,2,)</f>
        <v>RAFAEL CRUCERO</v>
      </c>
      <c r="I28" s="60" t="str">
        <f>VLOOKUP($G28,Sheet3!$A$1:$C$6,3,)</f>
        <v>LSI HQ PD DIV. PD THD/SOP ASSY DEPT.</v>
      </c>
      <c r="J28" s="57">
        <v>45857</v>
      </c>
      <c r="K28" s="63">
        <f t="shared" ca="1" si="0"/>
        <v>62</v>
      </c>
      <c r="L28" s="64" t="str">
        <f t="shared" ca="1" si="1"/>
        <v>UPDATED</v>
      </c>
    </row>
    <row r="29" spans="1:12" ht="15" x14ac:dyDescent="0.25">
      <c r="A29" t="s">
        <v>29</v>
      </c>
      <c r="B29" s="60" t="s">
        <v>521</v>
      </c>
      <c r="C29" s="60" t="s">
        <v>247</v>
      </c>
      <c r="D29" s="56" t="s">
        <v>0</v>
      </c>
      <c r="E29" s="60" t="s">
        <v>466</v>
      </c>
      <c r="F29" s="60" t="s">
        <v>260</v>
      </c>
      <c r="G29" s="60" t="s">
        <v>49</v>
      </c>
      <c r="H29" s="60" t="str">
        <f>VLOOKUP($G29,Sheet3!$A$1:$C$6,2,)</f>
        <v>RAFAEL CRUCERO</v>
      </c>
      <c r="I29" s="60" t="str">
        <f>VLOOKUP($G29,Sheet3!$A$1:$C$6,3,)</f>
        <v>LSI HQ PD DIV. PD THD/SOP ASSY DEPT.</v>
      </c>
      <c r="J29" s="57">
        <v>45552</v>
      </c>
      <c r="K29" s="63">
        <f t="shared" ca="1" si="0"/>
        <v>367</v>
      </c>
      <c r="L29" s="64" t="str">
        <f t="shared" ca="1" si="1"/>
        <v>EXPIRED</v>
      </c>
    </row>
    <row r="30" spans="1:12" ht="15" x14ac:dyDescent="0.25">
      <c r="A30" t="s">
        <v>30</v>
      </c>
      <c r="B30" s="60" t="s">
        <v>502</v>
      </c>
      <c r="C30" s="60" t="s">
        <v>247</v>
      </c>
      <c r="D30" s="56" t="s">
        <v>0</v>
      </c>
      <c r="E30" s="60" t="s">
        <v>466</v>
      </c>
      <c r="F30" s="60" t="s">
        <v>271</v>
      </c>
      <c r="G30" s="60" t="s">
        <v>49</v>
      </c>
      <c r="H30" s="60" t="str">
        <f>VLOOKUP($G30,Sheet3!$A$1:$C$6,2,)</f>
        <v>RAFAEL CRUCERO</v>
      </c>
      <c r="I30" s="60" t="str">
        <f>VLOOKUP($G30,Sheet3!$A$1:$C$6,3,)</f>
        <v>LSI HQ PD DIV. PD THD/SOP ASSY DEPT.</v>
      </c>
      <c r="J30" s="57">
        <v>45695</v>
      </c>
      <c r="K30" s="63">
        <f t="shared" ca="1" si="0"/>
        <v>224</v>
      </c>
      <c r="L30" s="64" t="str">
        <f t="shared" ca="1" si="1"/>
        <v>UPDATED</v>
      </c>
    </row>
    <row r="31" spans="1:12" ht="15" x14ac:dyDescent="0.25">
      <c r="A31" t="s">
        <v>31</v>
      </c>
      <c r="B31" s="60" t="s">
        <v>520</v>
      </c>
      <c r="C31" s="60" t="s">
        <v>247</v>
      </c>
      <c r="D31" s="56" t="s">
        <v>0</v>
      </c>
      <c r="E31" s="60" t="s">
        <v>466</v>
      </c>
      <c r="F31" s="60" t="s">
        <v>271</v>
      </c>
      <c r="G31" s="60" t="s">
        <v>49</v>
      </c>
      <c r="H31" s="60" t="str">
        <f>VLOOKUP($G31,Sheet3!$A$1:$C$6,2,)</f>
        <v>RAFAEL CRUCERO</v>
      </c>
      <c r="I31" s="60" t="str">
        <f>VLOOKUP($G31,Sheet3!$A$1:$C$6,3,)</f>
        <v>LSI HQ PD DIV. PD THD/SOP ASSY DEPT.</v>
      </c>
      <c r="J31" s="57">
        <v>45551</v>
      </c>
      <c r="K31" s="63">
        <f t="shared" ca="1" si="0"/>
        <v>368</v>
      </c>
      <c r="L31" s="64" t="str">
        <f t="shared" ca="1" si="1"/>
        <v>EXPIRED</v>
      </c>
    </row>
    <row r="32" spans="1:12" ht="15" x14ac:dyDescent="0.25">
      <c r="A32" t="s">
        <v>32</v>
      </c>
      <c r="B32" s="60" t="s">
        <v>469</v>
      </c>
      <c r="C32" s="60" t="s">
        <v>247</v>
      </c>
      <c r="D32" s="56" t="s">
        <v>0</v>
      </c>
      <c r="E32" s="60" t="s">
        <v>466</v>
      </c>
      <c r="F32" s="60" t="s">
        <v>255</v>
      </c>
      <c r="G32" s="60" t="s">
        <v>49</v>
      </c>
      <c r="H32" s="60" t="str">
        <f>VLOOKUP($G32,Sheet3!$A$1:$C$6,2,)</f>
        <v>RAFAEL CRUCERO</v>
      </c>
      <c r="I32" s="60" t="str">
        <f>VLOOKUP($G32,Sheet3!$A$1:$C$6,3,)</f>
        <v>LSI HQ PD DIV. PD THD/SOP ASSY DEPT.</v>
      </c>
      <c r="J32" s="57">
        <v>45688</v>
      </c>
      <c r="K32" s="63">
        <f t="shared" ca="1" si="0"/>
        <v>231</v>
      </c>
      <c r="L32" s="64" t="str">
        <f t="shared" ca="1" si="1"/>
        <v>UPDATED</v>
      </c>
    </row>
    <row r="33" spans="1:12" ht="15" x14ac:dyDescent="0.25">
      <c r="A33" t="s">
        <v>33</v>
      </c>
      <c r="B33" s="60" t="s">
        <v>477</v>
      </c>
      <c r="C33" s="60" t="s">
        <v>247</v>
      </c>
      <c r="D33" s="56" t="s">
        <v>0</v>
      </c>
      <c r="E33" s="60" t="s">
        <v>466</v>
      </c>
      <c r="F33" s="60" t="s">
        <v>260</v>
      </c>
      <c r="G33" s="60" t="s">
        <v>49</v>
      </c>
      <c r="H33" s="60" t="str">
        <f>VLOOKUP($G33,Sheet3!$A$1:$C$6,2,)</f>
        <v>RAFAEL CRUCERO</v>
      </c>
      <c r="I33" s="60" t="str">
        <f>VLOOKUP($G33,Sheet3!$A$1:$C$6,3,)</f>
        <v>LSI HQ PD DIV. PD THD/SOP ASSY DEPT.</v>
      </c>
      <c r="J33" s="57">
        <v>45558</v>
      </c>
      <c r="K33" s="63">
        <f t="shared" ca="1" si="0"/>
        <v>361</v>
      </c>
      <c r="L33" s="64" t="str">
        <f t="shared" ca="1" si="1"/>
        <v>UPDATED</v>
      </c>
    </row>
    <row r="34" spans="1:12" ht="15" x14ac:dyDescent="0.25">
      <c r="A34" t="s">
        <v>34</v>
      </c>
      <c r="B34" s="60" t="s">
        <v>485</v>
      </c>
      <c r="C34" s="60" t="s">
        <v>247</v>
      </c>
      <c r="D34" s="56" t="s">
        <v>0</v>
      </c>
      <c r="E34" s="60" t="s">
        <v>466</v>
      </c>
      <c r="F34" s="60" t="s">
        <v>255</v>
      </c>
      <c r="G34" s="60" t="s">
        <v>49</v>
      </c>
      <c r="H34" s="60" t="str">
        <f>VLOOKUP($G34,Sheet3!$A$1:$C$6,2,)</f>
        <v>RAFAEL CRUCERO</v>
      </c>
      <c r="I34" s="60" t="str">
        <f>VLOOKUP($G34,Sheet3!$A$1:$C$6,3,)</f>
        <v>LSI HQ PD DIV. PD THD/SOP ASSY DEPT.</v>
      </c>
      <c r="J34" s="57">
        <v>45668</v>
      </c>
      <c r="K34" s="63">
        <f t="shared" ca="1" si="0"/>
        <v>251</v>
      </c>
      <c r="L34" s="64" t="str">
        <f t="shared" ca="1" si="1"/>
        <v>UPDATED</v>
      </c>
    </row>
    <row r="35" spans="1:12" ht="15" x14ac:dyDescent="0.25">
      <c r="A35" t="s">
        <v>35</v>
      </c>
      <c r="B35" s="60" t="s">
        <v>467</v>
      </c>
      <c r="C35" s="60" t="s">
        <v>247</v>
      </c>
      <c r="D35" s="56" t="s">
        <v>0</v>
      </c>
      <c r="E35" s="60" t="s">
        <v>466</v>
      </c>
      <c r="F35" s="60" t="s">
        <v>271</v>
      </c>
      <c r="G35" s="60" t="s">
        <v>49</v>
      </c>
      <c r="H35" s="60" t="str">
        <f>VLOOKUP($G35,Sheet3!$A$1:$C$6,2,)</f>
        <v>RAFAEL CRUCERO</v>
      </c>
      <c r="I35" s="60" t="str">
        <f>VLOOKUP($G35,Sheet3!$A$1:$C$6,3,)</f>
        <v>LSI HQ PD DIV. PD THD/SOP ASSY DEPT.</v>
      </c>
      <c r="J35" s="57">
        <v>45693</v>
      </c>
      <c r="K35" s="63">
        <f t="shared" ca="1" si="0"/>
        <v>226</v>
      </c>
      <c r="L35" s="64" t="str">
        <f t="shared" ca="1" si="1"/>
        <v>UPDATED</v>
      </c>
    </row>
    <row r="36" spans="1:12" ht="15" x14ac:dyDescent="0.25">
      <c r="A36" t="s">
        <v>36</v>
      </c>
      <c r="B36" s="60" t="s">
        <v>510</v>
      </c>
      <c r="C36" s="60" t="s">
        <v>247</v>
      </c>
      <c r="D36" s="56" t="s">
        <v>0</v>
      </c>
      <c r="E36" s="60" t="s">
        <v>466</v>
      </c>
      <c r="F36" s="60" t="s">
        <v>255</v>
      </c>
      <c r="G36" s="60" t="s">
        <v>49</v>
      </c>
      <c r="H36" s="60" t="str">
        <f>VLOOKUP($G36,Sheet3!$A$1:$C$6,2,)</f>
        <v>RAFAEL CRUCERO</v>
      </c>
      <c r="I36" s="60" t="str">
        <f>VLOOKUP($G36,Sheet3!$A$1:$C$6,3,)</f>
        <v>LSI HQ PD DIV. PD THD/SOP ASSY DEPT.</v>
      </c>
      <c r="J36" s="57">
        <v>45676</v>
      </c>
      <c r="K36" s="63">
        <f t="shared" ca="1" si="0"/>
        <v>243</v>
      </c>
      <c r="L36" s="64" t="str">
        <f t="shared" ca="1" si="1"/>
        <v>UPDATED</v>
      </c>
    </row>
    <row r="37" spans="1:12" ht="15" x14ac:dyDescent="0.25">
      <c r="A37" t="s">
        <v>37</v>
      </c>
      <c r="B37" s="60" t="s">
        <v>497</v>
      </c>
      <c r="C37" s="60" t="s">
        <v>247</v>
      </c>
      <c r="D37" s="56" t="s">
        <v>0</v>
      </c>
      <c r="E37" s="60" t="s">
        <v>466</v>
      </c>
      <c r="F37" s="60" t="s">
        <v>255</v>
      </c>
      <c r="G37" s="60" t="s">
        <v>49</v>
      </c>
      <c r="H37" s="60" t="str">
        <f>VLOOKUP($G37,Sheet3!$A$1:$C$6,2,)</f>
        <v>RAFAEL CRUCERO</v>
      </c>
      <c r="I37" s="60" t="str">
        <f>VLOOKUP($G37,Sheet3!$A$1:$C$6,3,)</f>
        <v>LSI HQ PD DIV. PD THD/SOP ASSY DEPT.</v>
      </c>
      <c r="J37" s="57">
        <v>45506</v>
      </c>
      <c r="K37" s="63">
        <f t="shared" ca="1" si="0"/>
        <v>413</v>
      </c>
      <c r="L37" s="64" t="str">
        <f t="shared" ca="1" si="1"/>
        <v>EXPIRED</v>
      </c>
    </row>
    <row r="38" spans="1:12" ht="15" x14ac:dyDescent="0.25">
      <c r="A38" t="s">
        <v>38</v>
      </c>
      <c r="B38" s="60" t="s">
        <v>478</v>
      </c>
      <c r="C38" s="60" t="s">
        <v>247</v>
      </c>
      <c r="D38" s="56" t="s">
        <v>0</v>
      </c>
      <c r="E38" s="60" t="s">
        <v>466</v>
      </c>
      <c r="F38" s="60" t="s">
        <v>255</v>
      </c>
      <c r="G38" s="60" t="s">
        <v>49</v>
      </c>
      <c r="H38" s="60" t="str">
        <f>VLOOKUP($G38,Sheet3!$A$1:$C$6,2,)</f>
        <v>RAFAEL CRUCERO</v>
      </c>
      <c r="I38" s="60" t="str">
        <f>VLOOKUP($G38,Sheet3!$A$1:$C$6,3,)</f>
        <v>LSI HQ PD DIV. PD THD/SOP ASSY DEPT.</v>
      </c>
      <c r="J38" s="57">
        <v>45868</v>
      </c>
      <c r="K38" s="63">
        <f t="shared" ca="1" si="0"/>
        <v>51</v>
      </c>
      <c r="L38" s="64" t="str">
        <f t="shared" ca="1" si="1"/>
        <v>UPDATED</v>
      </c>
    </row>
    <row r="39" spans="1:12" ht="15" x14ac:dyDescent="0.25">
      <c r="A39" t="s">
        <v>39</v>
      </c>
      <c r="B39" s="60" t="s">
        <v>512</v>
      </c>
      <c r="C39" s="60" t="s">
        <v>247</v>
      </c>
      <c r="D39" s="56" t="s">
        <v>0</v>
      </c>
      <c r="E39" s="60" t="s">
        <v>466</v>
      </c>
      <c r="F39" s="60" t="s">
        <v>271</v>
      </c>
      <c r="G39" s="60" t="s">
        <v>49</v>
      </c>
      <c r="H39" s="60" t="str">
        <f>VLOOKUP($G39,Sheet3!$A$1:$C$6,2,)</f>
        <v>RAFAEL CRUCERO</v>
      </c>
      <c r="I39" s="60" t="str">
        <f>VLOOKUP($G39,Sheet3!$A$1:$C$6,3,)</f>
        <v>LSI HQ PD DIV. PD THD/SOP ASSY DEPT.</v>
      </c>
      <c r="J39" s="57">
        <v>45803</v>
      </c>
      <c r="K39" s="63">
        <f t="shared" ca="1" si="0"/>
        <v>116</v>
      </c>
      <c r="L39" s="64" t="str">
        <f t="shared" ca="1" si="1"/>
        <v>UPDATED</v>
      </c>
    </row>
    <row r="40" spans="1:12" ht="15" x14ac:dyDescent="0.25">
      <c r="A40" t="s">
        <v>40</v>
      </c>
      <c r="B40" s="60" t="s">
        <v>491</v>
      </c>
      <c r="C40" s="60" t="s">
        <v>247</v>
      </c>
      <c r="D40" s="56" t="s">
        <v>0</v>
      </c>
      <c r="E40" s="60" t="s">
        <v>466</v>
      </c>
      <c r="F40" s="60" t="s">
        <v>262</v>
      </c>
      <c r="G40" s="60" t="s">
        <v>49</v>
      </c>
      <c r="H40" s="60" t="str">
        <f>VLOOKUP($G40,Sheet3!$A$1:$C$6,2,)</f>
        <v>RAFAEL CRUCERO</v>
      </c>
      <c r="I40" s="60" t="str">
        <f>VLOOKUP($G40,Sheet3!$A$1:$C$6,3,)</f>
        <v>LSI HQ PD DIV. PD THD/SOP ASSY DEPT.</v>
      </c>
      <c r="J40" s="57">
        <v>45701</v>
      </c>
      <c r="K40" s="63">
        <f t="shared" ca="1" si="0"/>
        <v>218</v>
      </c>
      <c r="L40" s="64" t="str">
        <f t="shared" ca="1" si="1"/>
        <v>UPDATED</v>
      </c>
    </row>
    <row r="41" spans="1:12" ht="15" x14ac:dyDescent="0.25">
      <c r="A41" t="s">
        <v>41</v>
      </c>
      <c r="B41" s="60" t="s">
        <v>524</v>
      </c>
      <c r="C41" s="60" t="s">
        <v>247</v>
      </c>
      <c r="D41" s="56" t="s">
        <v>0</v>
      </c>
      <c r="E41" s="60" t="s">
        <v>466</v>
      </c>
      <c r="F41" s="60" t="s">
        <v>260</v>
      </c>
      <c r="G41" s="60" t="s">
        <v>49</v>
      </c>
      <c r="H41" s="60" t="str">
        <f>VLOOKUP($G41,Sheet3!$A$1:$C$6,2,)</f>
        <v>RAFAEL CRUCERO</v>
      </c>
      <c r="I41" s="60" t="str">
        <f>VLOOKUP($G41,Sheet3!$A$1:$C$6,3,)</f>
        <v>LSI HQ PD DIV. PD THD/SOP ASSY DEPT.</v>
      </c>
      <c r="J41" s="57">
        <v>45520</v>
      </c>
      <c r="K41" s="63">
        <f t="shared" ca="1" si="0"/>
        <v>399</v>
      </c>
      <c r="L41" s="64" t="str">
        <f t="shared" ca="1" si="1"/>
        <v>EXPIRED</v>
      </c>
    </row>
    <row r="42" spans="1:12" ht="15" x14ac:dyDescent="0.25">
      <c r="A42" t="s">
        <v>42</v>
      </c>
      <c r="B42" s="60" t="s">
        <v>490</v>
      </c>
      <c r="C42" s="60" t="s">
        <v>247</v>
      </c>
      <c r="D42" s="56" t="s">
        <v>0</v>
      </c>
      <c r="E42" s="60" t="s">
        <v>466</v>
      </c>
      <c r="F42" s="60" t="s">
        <v>262</v>
      </c>
      <c r="G42" s="60" t="s">
        <v>49</v>
      </c>
      <c r="H42" s="60" t="str">
        <f>VLOOKUP($G42,Sheet3!$A$1:$C$6,2,)</f>
        <v>RAFAEL CRUCERO</v>
      </c>
      <c r="I42" s="60" t="str">
        <f>VLOOKUP($G42,Sheet3!$A$1:$C$6,3,)</f>
        <v>LSI HQ PD DIV. PD THD/SOP ASSY DEPT.</v>
      </c>
      <c r="J42" s="57">
        <v>45649</v>
      </c>
      <c r="K42" s="63">
        <f t="shared" ca="1" si="0"/>
        <v>270</v>
      </c>
      <c r="L42" s="64" t="str">
        <f t="shared" ca="1" si="1"/>
        <v>UPDATED</v>
      </c>
    </row>
    <row r="43" spans="1:12" ht="15" x14ac:dyDescent="0.25">
      <c r="A43" t="s">
        <v>43</v>
      </c>
      <c r="B43" s="60" t="s">
        <v>488</v>
      </c>
      <c r="C43" s="60" t="s">
        <v>247</v>
      </c>
      <c r="D43" s="56" t="s">
        <v>0</v>
      </c>
      <c r="E43" s="60" t="s">
        <v>466</v>
      </c>
      <c r="F43" s="60" t="s">
        <v>262</v>
      </c>
      <c r="G43" s="60" t="s">
        <v>49</v>
      </c>
      <c r="H43" s="60" t="str">
        <f>VLOOKUP($G43,Sheet3!$A$1:$C$6,2,)</f>
        <v>RAFAEL CRUCERO</v>
      </c>
      <c r="I43" s="60" t="str">
        <f>VLOOKUP($G43,Sheet3!$A$1:$C$6,3,)</f>
        <v>LSI HQ PD DIV. PD THD/SOP ASSY DEPT.</v>
      </c>
      <c r="J43" s="57">
        <v>45647</v>
      </c>
      <c r="K43" s="63">
        <f t="shared" ca="1" si="0"/>
        <v>272</v>
      </c>
      <c r="L43" s="64" t="str">
        <f t="shared" ca="1" si="1"/>
        <v>UPDATED</v>
      </c>
    </row>
    <row r="44" spans="1:12" ht="15" x14ac:dyDescent="0.25">
      <c r="A44" t="s">
        <v>44</v>
      </c>
      <c r="B44" s="60" t="s">
        <v>489</v>
      </c>
      <c r="C44" s="60" t="s">
        <v>247</v>
      </c>
      <c r="D44" s="56" t="s">
        <v>0</v>
      </c>
      <c r="E44" s="60" t="s">
        <v>466</v>
      </c>
      <c r="F44" s="60" t="s">
        <v>262</v>
      </c>
      <c r="G44" s="60" t="s">
        <v>49</v>
      </c>
      <c r="H44" s="60" t="str">
        <f>VLOOKUP($G44,Sheet3!$A$1:$C$6,2,)</f>
        <v>RAFAEL CRUCERO</v>
      </c>
      <c r="I44" s="60" t="str">
        <f>VLOOKUP($G44,Sheet3!$A$1:$C$6,3,)</f>
        <v>LSI HQ PD DIV. PD THD/SOP ASSY DEPT.</v>
      </c>
      <c r="J44" s="57">
        <v>45648</v>
      </c>
      <c r="K44" s="63">
        <f t="shared" ca="1" si="0"/>
        <v>271</v>
      </c>
      <c r="L44" s="64" t="str">
        <f t="shared" ca="1" si="1"/>
        <v>UPDATED</v>
      </c>
    </row>
    <row r="45" spans="1:12" ht="15" x14ac:dyDescent="0.25">
      <c r="A45" t="s">
        <v>45</v>
      </c>
      <c r="B45" s="60" t="s">
        <v>522</v>
      </c>
      <c r="C45" s="60" t="s">
        <v>247</v>
      </c>
      <c r="D45" s="56" t="s">
        <v>0</v>
      </c>
      <c r="E45" s="60" t="s">
        <v>466</v>
      </c>
      <c r="F45" s="60" t="s">
        <v>262</v>
      </c>
      <c r="G45" s="60" t="s">
        <v>49</v>
      </c>
      <c r="H45" s="60" t="str">
        <f>VLOOKUP($G45,Sheet3!$A$1:$C$6,2,)</f>
        <v>RAFAEL CRUCERO</v>
      </c>
      <c r="I45" s="60" t="str">
        <f>VLOOKUP($G45,Sheet3!$A$1:$C$6,3,)</f>
        <v>LSI HQ PD DIV. PD THD/SOP ASSY DEPT.</v>
      </c>
      <c r="J45" s="57">
        <v>45540</v>
      </c>
      <c r="K45" s="63">
        <f t="shared" ca="1" si="0"/>
        <v>379</v>
      </c>
      <c r="L45" s="64" t="str">
        <f t="shared" ca="1" si="1"/>
        <v>EXPIRED</v>
      </c>
    </row>
    <row r="46" spans="1:12" ht="15" x14ac:dyDescent="0.25">
      <c r="A46" t="s">
        <v>46</v>
      </c>
      <c r="B46" s="60" t="s">
        <v>470</v>
      </c>
      <c r="C46" s="60" t="s">
        <v>247</v>
      </c>
      <c r="D46" s="56" t="s">
        <v>0</v>
      </c>
      <c r="E46" s="60" t="s">
        <v>466</v>
      </c>
      <c r="F46" s="60" t="s">
        <v>262</v>
      </c>
      <c r="G46" s="60" t="s">
        <v>49</v>
      </c>
      <c r="H46" s="60" t="str">
        <f>VLOOKUP($G46,Sheet3!$A$1:$C$6,2,)</f>
        <v>RAFAEL CRUCERO</v>
      </c>
      <c r="I46" s="60" t="str">
        <f>VLOOKUP($G46,Sheet3!$A$1:$C$6,3,)</f>
        <v>LSI HQ PD DIV. PD THD/SOP ASSY DEPT.</v>
      </c>
      <c r="J46" s="57">
        <v>45685</v>
      </c>
      <c r="K46" s="63">
        <f t="shared" ca="1" si="0"/>
        <v>234</v>
      </c>
      <c r="L46" s="64" t="str">
        <f t="shared" ca="1" si="1"/>
        <v>UPDATED</v>
      </c>
    </row>
    <row r="47" spans="1:12" ht="15" x14ac:dyDescent="0.25">
      <c r="A47" t="s">
        <v>47</v>
      </c>
      <c r="B47" s="60" t="s">
        <v>487</v>
      </c>
      <c r="C47" s="60" t="s">
        <v>247</v>
      </c>
      <c r="D47" s="56" t="s">
        <v>0</v>
      </c>
      <c r="E47" s="60" t="s">
        <v>466</v>
      </c>
      <c r="F47" s="60" t="s">
        <v>260</v>
      </c>
      <c r="G47" s="60" t="s">
        <v>49</v>
      </c>
      <c r="H47" s="60" t="str">
        <f>VLOOKUP($G47,Sheet3!$A$1:$C$6,2,)</f>
        <v>RAFAEL CRUCERO</v>
      </c>
      <c r="I47" s="60" t="str">
        <f>VLOOKUP($G47,Sheet3!$A$1:$C$6,3,)</f>
        <v>LSI HQ PD DIV. PD THD/SOP ASSY DEPT.</v>
      </c>
      <c r="J47" s="57">
        <v>45858</v>
      </c>
      <c r="K47" s="63">
        <f t="shared" ca="1" si="0"/>
        <v>61</v>
      </c>
      <c r="L47" s="64" t="str">
        <f t="shared" ca="1" si="1"/>
        <v>UPDATED</v>
      </c>
    </row>
    <row r="48" spans="1:12" ht="15" x14ac:dyDescent="0.25">
      <c r="A48" t="s">
        <v>48</v>
      </c>
      <c r="B48" s="60" t="s">
        <v>506</v>
      </c>
      <c r="C48" s="60" t="s">
        <v>247</v>
      </c>
      <c r="D48" s="56" t="s">
        <v>0</v>
      </c>
      <c r="E48" s="60" t="s">
        <v>466</v>
      </c>
      <c r="F48" s="60" t="s">
        <v>255</v>
      </c>
      <c r="G48" s="60" t="s">
        <v>49</v>
      </c>
      <c r="H48" s="60" t="str">
        <f>VLOOKUP($G48,Sheet3!$A$1:$C$6,2,)</f>
        <v>RAFAEL CRUCERO</v>
      </c>
      <c r="I48" s="60" t="str">
        <f>VLOOKUP($G48,Sheet3!$A$1:$C$6,3,)</f>
        <v>LSI HQ PD DIV. PD THD/SOP ASSY DEPT.</v>
      </c>
      <c r="J48" s="57">
        <v>45826</v>
      </c>
      <c r="K48" s="63">
        <f t="shared" ca="1" si="0"/>
        <v>93</v>
      </c>
      <c r="L48" s="64" t="str">
        <f t="shared" ca="1" si="1"/>
        <v>UPDATED</v>
      </c>
    </row>
    <row r="49" spans="1:12" ht="15" x14ac:dyDescent="0.25">
      <c r="A49" t="s">
        <v>67</v>
      </c>
      <c r="B49" s="60" t="s">
        <v>517</v>
      </c>
      <c r="C49" s="60" t="s">
        <v>247</v>
      </c>
      <c r="D49" s="56" t="s">
        <v>515</v>
      </c>
      <c r="E49" s="60" t="s">
        <v>516</v>
      </c>
      <c r="F49" s="60" t="s">
        <v>260</v>
      </c>
      <c r="G49" s="60" t="s">
        <v>49</v>
      </c>
      <c r="H49" s="60" t="str">
        <f>VLOOKUP($G49,Sheet3!$A$1:$C$6,2,)</f>
        <v>RAFAEL CRUCERO</v>
      </c>
      <c r="I49" s="60" t="str">
        <f>VLOOKUP($G49,Sheet3!$A$1:$C$6,3,)</f>
        <v>LSI HQ PD DIV. PD THD/SOP ASSY DEPT.</v>
      </c>
      <c r="J49" s="57">
        <v>45838</v>
      </c>
      <c r="K49" s="63">
        <f t="shared" ca="1" si="0"/>
        <v>81</v>
      </c>
      <c r="L49" s="64" t="str">
        <f t="shared" ca="1" si="1"/>
        <v>UPDATED</v>
      </c>
    </row>
    <row r="50" spans="1:12" ht="15" x14ac:dyDescent="0.25">
      <c r="A50" t="s">
        <v>68</v>
      </c>
      <c r="B50" s="60" t="e">
        <v>#N/A</v>
      </c>
      <c r="C50" s="60" t="e">
        <v>#N/A</v>
      </c>
      <c r="D50" s="56" t="e">
        <v>#N/A</v>
      </c>
      <c r="E50" s="60" t="e">
        <v>#N/A</v>
      </c>
      <c r="F50" s="60" t="e">
        <v>#N/A</v>
      </c>
      <c r="G50" s="60" t="s">
        <v>49</v>
      </c>
      <c r="H50" s="60" t="str">
        <f>VLOOKUP($G50,Sheet3!$A$1:$C$6,2,)</f>
        <v>RAFAEL CRUCERO</v>
      </c>
      <c r="I50" s="60" t="str">
        <f>VLOOKUP($G50,Sheet3!$A$1:$C$6,3,)</f>
        <v>LSI HQ PD DIV. PD THD/SOP ASSY DEPT.</v>
      </c>
      <c r="J50" s="57" t="e">
        <v>#N/A</v>
      </c>
      <c r="K50" s="63" t="e">
        <f t="shared" ca="1" si="0"/>
        <v>#N/A</v>
      </c>
      <c r="L50" s="64" t="e">
        <f t="shared" ca="1" si="1"/>
        <v>#N/A</v>
      </c>
    </row>
    <row r="51" spans="1:12" x14ac:dyDescent="0.2">
      <c r="A51" s="60" t="s">
        <v>69</v>
      </c>
      <c r="B51" s="60" t="s">
        <v>519</v>
      </c>
      <c r="C51" s="60" t="s">
        <v>247</v>
      </c>
      <c r="D51" s="56" t="s">
        <v>515</v>
      </c>
      <c r="E51" s="60" t="s">
        <v>516</v>
      </c>
      <c r="F51" s="60" t="s">
        <v>271</v>
      </c>
      <c r="G51" s="60" t="s">
        <v>49</v>
      </c>
      <c r="H51" s="60" t="str">
        <f>VLOOKUP($G51,Sheet3!$A$1:$C$6,2,)</f>
        <v>RAFAEL CRUCERO</v>
      </c>
      <c r="I51" s="60" t="str">
        <f>VLOOKUP($G51,Sheet3!$A$1:$C$6,3,)</f>
        <v>LSI HQ PD DIV. PD THD/SOP ASSY DEPT.</v>
      </c>
      <c r="J51" s="57">
        <v>45506</v>
      </c>
      <c r="K51" s="63">
        <f t="shared" ca="1" si="0"/>
        <v>413</v>
      </c>
      <c r="L51" s="64" t="str">
        <f t="shared" ca="1" si="1"/>
        <v>EXPIRED</v>
      </c>
    </row>
    <row r="52" spans="1:12" x14ac:dyDescent="0.2">
      <c r="A52" s="60" t="s">
        <v>70</v>
      </c>
      <c r="B52" s="60" t="s">
        <v>440</v>
      </c>
      <c r="C52" s="60" t="s">
        <v>247</v>
      </c>
      <c r="D52" s="56" t="s">
        <v>51</v>
      </c>
      <c r="E52" s="60" t="s">
        <v>248</v>
      </c>
      <c r="F52" s="60" t="s">
        <v>260</v>
      </c>
      <c r="G52" s="60" t="s">
        <v>49</v>
      </c>
      <c r="H52" s="60" t="str">
        <f>VLOOKUP($G52,Sheet3!$A$1:$C$6,2,)</f>
        <v>RAFAEL CRUCERO</v>
      </c>
      <c r="I52" s="60" t="str">
        <f>VLOOKUP($G52,Sheet3!$A$1:$C$6,3,)</f>
        <v>LSI HQ PD DIV. PD THD/SOP ASSY DEPT.</v>
      </c>
      <c r="J52" s="57">
        <v>45630</v>
      </c>
      <c r="K52" s="63">
        <f t="shared" ca="1" si="0"/>
        <v>289</v>
      </c>
      <c r="L52" s="64" t="str">
        <f t="shared" ca="1" si="1"/>
        <v>UPDATED</v>
      </c>
    </row>
    <row r="53" spans="1:12" x14ac:dyDescent="0.2">
      <c r="A53" s="60" t="s">
        <v>71</v>
      </c>
      <c r="B53" s="60" t="s">
        <v>444</v>
      </c>
      <c r="C53" s="60" t="s">
        <v>247</v>
      </c>
      <c r="D53" s="56" t="s">
        <v>51</v>
      </c>
      <c r="E53" s="60" t="s">
        <v>248</v>
      </c>
      <c r="F53" s="60" t="s">
        <v>260</v>
      </c>
      <c r="G53" s="60" t="s">
        <v>49</v>
      </c>
      <c r="H53" s="60" t="str">
        <f>VLOOKUP($G53,Sheet3!$A$1:$C$6,2,)</f>
        <v>RAFAEL CRUCERO</v>
      </c>
      <c r="I53" s="60" t="str">
        <f>VLOOKUP($G53,Sheet3!$A$1:$C$6,3,)</f>
        <v>LSI HQ PD DIV. PD THD/SOP ASSY DEPT.</v>
      </c>
      <c r="J53" s="57">
        <v>45702</v>
      </c>
      <c r="K53" s="63">
        <f t="shared" ca="1" si="0"/>
        <v>217</v>
      </c>
      <c r="L53" s="64" t="str">
        <f t="shared" ca="1" si="1"/>
        <v>UPDATED</v>
      </c>
    </row>
    <row r="54" spans="1:12" x14ac:dyDescent="0.2">
      <c r="A54" s="60" t="s">
        <v>72</v>
      </c>
      <c r="B54" s="60" t="s">
        <v>435</v>
      </c>
      <c r="C54" s="60" t="s">
        <v>247</v>
      </c>
      <c r="D54" s="56" t="s">
        <v>51</v>
      </c>
      <c r="E54" s="60" t="s">
        <v>248</v>
      </c>
      <c r="F54" s="60" t="s">
        <v>271</v>
      </c>
      <c r="G54" s="60" t="s">
        <v>49</v>
      </c>
      <c r="H54" s="60" t="str">
        <f>VLOOKUP($G54,Sheet3!$A$1:$C$6,2,)</f>
        <v>RAFAEL CRUCERO</v>
      </c>
      <c r="I54" s="60" t="str">
        <f>VLOOKUP($G54,Sheet3!$A$1:$C$6,3,)</f>
        <v>LSI HQ PD DIV. PD THD/SOP ASSY DEPT.</v>
      </c>
      <c r="J54" s="57">
        <v>45680</v>
      </c>
      <c r="K54" s="63">
        <f t="shared" ca="1" si="0"/>
        <v>239</v>
      </c>
      <c r="L54" s="64" t="str">
        <f t="shared" ca="1" si="1"/>
        <v>UPDATED</v>
      </c>
    </row>
    <row r="55" spans="1:12" x14ac:dyDescent="0.2">
      <c r="A55" s="60" t="s">
        <v>73</v>
      </c>
      <c r="B55" s="60" t="s">
        <v>443</v>
      </c>
      <c r="C55" s="60" t="s">
        <v>247</v>
      </c>
      <c r="D55" s="56" t="s">
        <v>51</v>
      </c>
      <c r="E55" s="60" t="s">
        <v>248</v>
      </c>
      <c r="F55" s="60" t="s">
        <v>262</v>
      </c>
      <c r="G55" s="60" t="s">
        <v>49</v>
      </c>
      <c r="H55" s="60" t="str">
        <f>VLOOKUP($G55,Sheet3!$A$1:$C$6,2,)</f>
        <v>RAFAEL CRUCERO</v>
      </c>
      <c r="I55" s="60" t="str">
        <f>VLOOKUP($G55,Sheet3!$A$1:$C$6,3,)</f>
        <v>LSI HQ PD DIV. PD THD/SOP ASSY DEPT.</v>
      </c>
      <c r="J55" s="57">
        <v>45630</v>
      </c>
      <c r="K55" s="63">
        <f t="shared" ca="1" si="0"/>
        <v>289</v>
      </c>
      <c r="L55" s="64" t="str">
        <f t="shared" ca="1" si="1"/>
        <v>UPDATED</v>
      </c>
    </row>
    <row r="56" spans="1:12" x14ac:dyDescent="0.2">
      <c r="A56" s="60" t="s">
        <v>74</v>
      </c>
      <c r="B56" s="60" t="s">
        <v>450</v>
      </c>
      <c r="C56" s="60" t="s">
        <v>247</v>
      </c>
      <c r="D56" s="56" t="s">
        <v>51</v>
      </c>
      <c r="E56" s="60" t="s">
        <v>248</v>
      </c>
      <c r="F56" s="60" t="s">
        <v>260</v>
      </c>
      <c r="G56" s="60" t="s">
        <v>49</v>
      </c>
      <c r="H56" s="60" t="str">
        <f>VLOOKUP($G56,Sheet3!$A$1:$C$6,2,)</f>
        <v>RAFAEL CRUCERO</v>
      </c>
      <c r="I56" s="60" t="str">
        <f>VLOOKUP($G56,Sheet3!$A$1:$C$6,3,)</f>
        <v>LSI HQ PD DIV. PD THD/SOP ASSY DEPT.</v>
      </c>
      <c r="J56" s="57">
        <v>45528</v>
      </c>
      <c r="K56" s="63">
        <f t="shared" ca="1" si="0"/>
        <v>391</v>
      </c>
      <c r="L56" s="64" t="str">
        <f t="shared" ca="1" si="1"/>
        <v>EXPIRED</v>
      </c>
    </row>
    <row r="57" spans="1:12" x14ac:dyDescent="0.2">
      <c r="A57" s="60" t="s">
        <v>182</v>
      </c>
      <c r="B57" s="60" t="s">
        <v>329</v>
      </c>
      <c r="C57" s="60" t="s">
        <v>247</v>
      </c>
      <c r="D57" s="56" t="s">
        <v>55</v>
      </c>
      <c r="E57" s="60" t="s">
        <v>248</v>
      </c>
      <c r="F57" s="60" t="s">
        <v>255</v>
      </c>
      <c r="G57" s="60" t="s">
        <v>49</v>
      </c>
      <c r="H57" s="60" t="str">
        <f>VLOOKUP($G57,Sheet3!$A$1:$C$6,2,)</f>
        <v>RAFAEL CRUCERO</v>
      </c>
      <c r="I57" s="60" t="str">
        <f>VLOOKUP($G57,Sheet3!$A$1:$C$6,3,)</f>
        <v>LSI HQ PD DIV. PD THD/SOP ASSY DEPT.</v>
      </c>
      <c r="J57" s="57">
        <v>45502</v>
      </c>
      <c r="K57" s="63">
        <f t="shared" ca="1" si="0"/>
        <v>417</v>
      </c>
      <c r="L57" s="64" t="str">
        <f t="shared" ref="L57:L88" ca="1" si="2">IF(K57&gt;=365,"EXPIRED","UPDATED")</f>
        <v>EXPIRED</v>
      </c>
    </row>
    <row r="58" spans="1:12" x14ac:dyDescent="0.2">
      <c r="A58" s="60" t="s">
        <v>76</v>
      </c>
      <c r="B58" s="60" t="s">
        <v>523</v>
      </c>
      <c r="C58" s="60" t="s">
        <v>247</v>
      </c>
      <c r="D58" s="56" t="s">
        <v>51</v>
      </c>
      <c r="E58" s="60" t="s">
        <v>248</v>
      </c>
      <c r="F58" s="60" t="s">
        <v>260</v>
      </c>
      <c r="G58" s="60" t="s">
        <v>49</v>
      </c>
      <c r="H58" s="60" t="str">
        <f>VLOOKUP($G58,Sheet3!$A$1:$C$6,2,)</f>
        <v>RAFAEL CRUCERO</v>
      </c>
      <c r="I58" s="60" t="str">
        <f>VLOOKUP($G58,Sheet3!$A$1:$C$6,3,)</f>
        <v>LSI HQ PD DIV. PD THD/SOP ASSY DEPT.</v>
      </c>
      <c r="J58" s="57">
        <v>45773</v>
      </c>
      <c r="K58" s="63">
        <f t="shared" ca="1" si="0"/>
        <v>146</v>
      </c>
      <c r="L58" s="64" t="str">
        <f t="shared" ca="1" si="2"/>
        <v>UPDATED</v>
      </c>
    </row>
    <row r="59" spans="1:12" x14ac:dyDescent="0.2">
      <c r="A59" s="60" t="s">
        <v>331</v>
      </c>
      <c r="B59" s="60" t="s">
        <v>332</v>
      </c>
      <c r="C59" s="60" t="s">
        <v>247</v>
      </c>
      <c r="D59" s="56" t="s">
        <v>55</v>
      </c>
      <c r="E59" s="60" t="s">
        <v>248</v>
      </c>
      <c r="F59" s="60" t="s">
        <v>260</v>
      </c>
      <c r="G59" s="60" t="s">
        <v>49</v>
      </c>
      <c r="H59" s="60" t="str">
        <f>VLOOKUP($G59,Sheet3!$A$1:$C$6,2,)</f>
        <v>RAFAEL CRUCERO</v>
      </c>
      <c r="I59" s="60" t="str">
        <f>VLOOKUP($G59,Sheet3!$A$1:$C$6,3,)</f>
        <v>LSI HQ PD DIV. PD THD/SOP ASSY DEPT.</v>
      </c>
      <c r="J59" s="57">
        <v>45502</v>
      </c>
      <c r="K59" s="63">
        <f t="shared" ca="1" si="0"/>
        <v>417</v>
      </c>
      <c r="L59" s="64" t="str">
        <f t="shared" ca="1" si="2"/>
        <v>EXPIRED</v>
      </c>
    </row>
    <row r="60" spans="1:12" x14ac:dyDescent="0.2">
      <c r="A60" s="60" t="s">
        <v>78</v>
      </c>
      <c r="B60" s="60" t="s">
        <v>436</v>
      </c>
      <c r="C60" s="60" t="s">
        <v>247</v>
      </c>
      <c r="D60" s="56" t="s">
        <v>51</v>
      </c>
      <c r="E60" s="60" t="s">
        <v>248</v>
      </c>
      <c r="F60" s="60" t="s">
        <v>255</v>
      </c>
      <c r="G60" s="60" t="s">
        <v>49</v>
      </c>
      <c r="H60" s="60" t="str">
        <f>VLOOKUP($G60,Sheet3!$A$1:$C$6,2,)</f>
        <v>RAFAEL CRUCERO</v>
      </c>
      <c r="I60" s="60" t="str">
        <f>VLOOKUP($G60,Sheet3!$A$1:$C$6,3,)</f>
        <v>LSI HQ PD DIV. PD THD/SOP ASSY DEPT.</v>
      </c>
      <c r="J60" s="57">
        <v>45681</v>
      </c>
      <c r="K60" s="63">
        <f t="shared" ca="1" si="0"/>
        <v>238</v>
      </c>
      <c r="L60" s="64" t="str">
        <f t="shared" ca="1" si="2"/>
        <v>UPDATED</v>
      </c>
    </row>
    <row r="61" spans="1:12" x14ac:dyDescent="0.2">
      <c r="A61" s="60" t="s">
        <v>79</v>
      </c>
      <c r="B61" s="60" t="s">
        <v>446</v>
      </c>
      <c r="C61" s="60" t="s">
        <v>247</v>
      </c>
      <c r="D61" s="56" t="s">
        <v>51</v>
      </c>
      <c r="E61" s="60" t="s">
        <v>248</v>
      </c>
      <c r="F61" s="60" t="s">
        <v>271</v>
      </c>
      <c r="G61" s="60" t="s">
        <v>49</v>
      </c>
      <c r="H61" s="60" t="str">
        <f>VLOOKUP($G61,Sheet3!$A$1:$C$6,2,)</f>
        <v>RAFAEL CRUCERO</v>
      </c>
      <c r="I61" s="60" t="str">
        <f>VLOOKUP($G61,Sheet3!$A$1:$C$6,3,)</f>
        <v>LSI HQ PD DIV. PD THD/SOP ASSY DEPT.</v>
      </c>
      <c r="J61" s="57">
        <v>45710</v>
      </c>
      <c r="K61" s="63">
        <f t="shared" ca="1" si="0"/>
        <v>209</v>
      </c>
      <c r="L61" s="64" t="str">
        <f t="shared" ca="1" si="2"/>
        <v>UPDATED</v>
      </c>
    </row>
    <row r="62" spans="1:12" x14ac:dyDescent="0.2">
      <c r="A62" s="60" t="s">
        <v>327</v>
      </c>
      <c r="B62" s="60" t="s">
        <v>328</v>
      </c>
      <c r="C62" s="60" t="s">
        <v>247</v>
      </c>
      <c r="D62" s="56" t="s">
        <v>55</v>
      </c>
      <c r="E62" s="60" t="s">
        <v>248</v>
      </c>
      <c r="F62" s="60" t="s">
        <v>252</v>
      </c>
      <c r="G62" s="60" t="s">
        <v>49</v>
      </c>
      <c r="H62" s="60" t="str">
        <f>VLOOKUP($G62,Sheet3!$A$1:$C$6,2,)</f>
        <v>RAFAEL CRUCERO</v>
      </c>
      <c r="I62" s="60" t="str">
        <f>VLOOKUP($G62,Sheet3!$A$1:$C$6,3,)</f>
        <v>LSI HQ PD DIV. PD THD/SOP ASSY DEPT.</v>
      </c>
      <c r="J62" s="57">
        <v>45486</v>
      </c>
      <c r="K62" s="63">
        <f t="shared" ca="1" si="0"/>
        <v>433</v>
      </c>
      <c r="L62" s="64" t="str">
        <f t="shared" ca="1" si="2"/>
        <v>EXPIRED</v>
      </c>
    </row>
    <row r="63" spans="1:12" x14ac:dyDescent="0.2">
      <c r="A63" s="60" t="s">
        <v>206</v>
      </c>
      <c r="B63" s="60" t="s">
        <v>274</v>
      </c>
      <c r="C63" s="60" t="s">
        <v>247</v>
      </c>
      <c r="D63" s="56" t="s">
        <v>55</v>
      </c>
      <c r="E63" s="60" t="s">
        <v>248</v>
      </c>
      <c r="F63" s="60" t="s">
        <v>260</v>
      </c>
      <c r="G63" s="60" t="s">
        <v>49</v>
      </c>
      <c r="H63" s="60" t="str">
        <f>VLOOKUP($G63,Sheet3!$A$1:$C$6,2,)</f>
        <v>RAFAEL CRUCERO</v>
      </c>
      <c r="I63" s="60" t="str">
        <f>VLOOKUP($G63,Sheet3!$A$1:$C$6,3,)</f>
        <v>LSI HQ PD DIV. PD THD/SOP ASSY DEPT.</v>
      </c>
      <c r="J63" s="57">
        <v>45469</v>
      </c>
      <c r="K63" s="63">
        <f t="shared" ca="1" si="0"/>
        <v>450</v>
      </c>
      <c r="L63" s="64" t="str">
        <f t="shared" ca="1" si="2"/>
        <v>EXPIRED</v>
      </c>
    </row>
    <row r="64" spans="1:12" x14ac:dyDescent="0.2">
      <c r="A64" s="60" t="s">
        <v>210</v>
      </c>
      <c r="B64" s="60" t="s">
        <v>324</v>
      </c>
      <c r="C64" s="60" t="s">
        <v>247</v>
      </c>
      <c r="D64" s="56" t="s">
        <v>55</v>
      </c>
      <c r="E64" s="60" t="s">
        <v>248</v>
      </c>
      <c r="F64" s="60" t="s">
        <v>249</v>
      </c>
      <c r="G64" s="60" t="s">
        <v>49</v>
      </c>
      <c r="H64" s="60" t="str">
        <f>VLOOKUP($G64,Sheet3!$A$1:$C$6,2,)</f>
        <v>RAFAEL CRUCERO</v>
      </c>
      <c r="I64" s="60" t="str">
        <f>VLOOKUP($G64,Sheet3!$A$1:$C$6,3,)</f>
        <v>LSI HQ PD DIV. PD THD/SOP ASSY DEPT.</v>
      </c>
      <c r="J64" s="57">
        <v>45462</v>
      </c>
      <c r="K64" s="63">
        <f t="shared" ca="1" si="0"/>
        <v>457</v>
      </c>
      <c r="L64" s="64" t="str">
        <f t="shared" ca="1" si="2"/>
        <v>EXPIRED</v>
      </c>
    </row>
    <row r="65" spans="1:12" x14ac:dyDescent="0.2">
      <c r="A65" s="60" t="s">
        <v>83</v>
      </c>
      <c r="B65" s="60" t="s">
        <v>441</v>
      </c>
      <c r="C65" s="60" t="s">
        <v>247</v>
      </c>
      <c r="D65" s="56" t="s">
        <v>51</v>
      </c>
      <c r="E65" s="60" t="s">
        <v>248</v>
      </c>
      <c r="F65" s="60" t="s">
        <v>271</v>
      </c>
      <c r="G65" s="60" t="s">
        <v>49</v>
      </c>
      <c r="H65" s="60" t="str">
        <f>VLOOKUP($G65,Sheet3!$A$1:$C$6,2,)</f>
        <v>RAFAEL CRUCERO</v>
      </c>
      <c r="I65" s="60" t="str">
        <f>VLOOKUP($G65,Sheet3!$A$1:$C$6,3,)</f>
        <v>LSI HQ PD DIV. PD THD/SOP ASSY DEPT.</v>
      </c>
      <c r="J65" s="57">
        <v>46006</v>
      </c>
      <c r="K65" s="63">
        <f t="shared" ca="1" si="0"/>
        <v>87</v>
      </c>
      <c r="L65" s="64" t="str">
        <f t="shared" ca="1" si="2"/>
        <v>UPDATED</v>
      </c>
    </row>
    <row r="66" spans="1:12" x14ac:dyDescent="0.2">
      <c r="A66" s="60" t="s">
        <v>84</v>
      </c>
      <c r="B66" s="60" t="s">
        <v>459</v>
      </c>
      <c r="C66" s="60" t="s">
        <v>247</v>
      </c>
      <c r="D66" s="56" t="s">
        <v>51</v>
      </c>
      <c r="E66" s="60" t="s">
        <v>248</v>
      </c>
      <c r="F66" s="60" t="s">
        <v>255</v>
      </c>
      <c r="G66" s="60" t="s">
        <v>49</v>
      </c>
      <c r="H66" s="60" t="str">
        <f>VLOOKUP($G66,Sheet3!$A$1:$C$6,2,)</f>
        <v>RAFAEL CRUCERO</v>
      </c>
      <c r="I66" s="60" t="str">
        <f>VLOOKUP($G66,Sheet3!$A$1:$C$6,3,)</f>
        <v>LSI HQ PD DIV. PD THD/SOP ASSY DEPT.</v>
      </c>
      <c r="J66" s="57">
        <v>45676</v>
      </c>
      <c r="K66" s="63">
        <f t="shared" ref="K66:K129" ca="1" si="3">ABS(J66-TODAY())</f>
        <v>243</v>
      </c>
      <c r="L66" s="64" t="str">
        <f t="shared" ca="1" si="2"/>
        <v>UPDATED</v>
      </c>
    </row>
    <row r="67" spans="1:12" x14ac:dyDescent="0.2">
      <c r="A67" s="60" t="s">
        <v>85</v>
      </c>
      <c r="B67" s="60" t="s">
        <v>434</v>
      </c>
      <c r="C67" s="60" t="s">
        <v>247</v>
      </c>
      <c r="D67" s="56" t="s">
        <v>51</v>
      </c>
      <c r="E67" s="60" t="s">
        <v>248</v>
      </c>
      <c r="F67" s="60" t="s">
        <v>271</v>
      </c>
      <c r="G67" s="60" t="s">
        <v>49</v>
      </c>
      <c r="H67" s="60" t="str">
        <f>VLOOKUP($G67,Sheet3!$A$1:$C$6,2,)</f>
        <v>RAFAEL CRUCERO</v>
      </c>
      <c r="I67" s="60" t="str">
        <f>VLOOKUP($G67,Sheet3!$A$1:$C$6,3,)</f>
        <v>LSI HQ PD DIV. PD THD/SOP ASSY DEPT.</v>
      </c>
      <c r="J67" s="57">
        <v>45654</v>
      </c>
      <c r="K67" s="63">
        <f t="shared" ca="1" si="3"/>
        <v>265</v>
      </c>
      <c r="L67" s="64" t="str">
        <f t="shared" ca="1" si="2"/>
        <v>UPDATED</v>
      </c>
    </row>
    <row r="68" spans="1:12" x14ac:dyDescent="0.2">
      <c r="A68" s="60" t="s">
        <v>86</v>
      </c>
      <c r="B68" s="60" t="s">
        <v>433</v>
      </c>
      <c r="C68" s="60" t="s">
        <v>247</v>
      </c>
      <c r="D68" s="56" t="s">
        <v>51</v>
      </c>
      <c r="E68" s="60" t="s">
        <v>248</v>
      </c>
      <c r="F68" s="60" t="s">
        <v>260</v>
      </c>
      <c r="G68" s="60" t="s">
        <v>49</v>
      </c>
      <c r="H68" s="60" t="str">
        <f>VLOOKUP($G68,Sheet3!$A$1:$C$6,2,)</f>
        <v>RAFAEL CRUCERO</v>
      </c>
      <c r="I68" s="60" t="str">
        <f>VLOOKUP($G68,Sheet3!$A$1:$C$6,3,)</f>
        <v>LSI HQ PD DIV. PD THD/SOP ASSY DEPT.</v>
      </c>
      <c r="J68" s="57">
        <v>45646</v>
      </c>
      <c r="K68" s="63">
        <f t="shared" ca="1" si="3"/>
        <v>273</v>
      </c>
      <c r="L68" s="64" t="str">
        <f t="shared" ca="1" si="2"/>
        <v>UPDATED</v>
      </c>
    </row>
    <row r="69" spans="1:12" x14ac:dyDescent="0.2">
      <c r="A69" s="60" t="s">
        <v>191</v>
      </c>
      <c r="B69" s="60" t="s">
        <v>323</v>
      </c>
      <c r="C69" s="60" t="s">
        <v>247</v>
      </c>
      <c r="D69" s="56" t="s">
        <v>55</v>
      </c>
      <c r="E69" s="60" t="s">
        <v>248</v>
      </c>
      <c r="F69" s="60" t="s">
        <v>262</v>
      </c>
      <c r="G69" s="60" t="s">
        <v>49</v>
      </c>
      <c r="H69" s="60" t="str">
        <f>VLOOKUP($G69,Sheet3!$A$1:$C$6,2,)</f>
        <v>RAFAEL CRUCERO</v>
      </c>
      <c r="I69" s="60" t="str">
        <f>VLOOKUP($G69,Sheet3!$A$1:$C$6,3,)</f>
        <v>LSI HQ PD DIV. PD THD/SOP ASSY DEPT.</v>
      </c>
      <c r="J69" s="57">
        <v>45458</v>
      </c>
      <c r="K69" s="63">
        <f t="shared" ca="1" si="3"/>
        <v>461</v>
      </c>
      <c r="L69" s="64" t="str">
        <f t="shared" ca="1" si="2"/>
        <v>EXPIRED</v>
      </c>
    </row>
    <row r="70" spans="1:12" x14ac:dyDescent="0.2">
      <c r="A70" s="60" t="s">
        <v>88</v>
      </c>
      <c r="B70" s="60" t="s">
        <v>458</v>
      </c>
      <c r="C70" s="60" t="s">
        <v>247</v>
      </c>
      <c r="D70" s="56" t="s">
        <v>51</v>
      </c>
      <c r="E70" s="60" t="s">
        <v>248</v>
      </c>
      <c r="F70" s="60" t="s">
        <v>260</v>
      </c>
      <c r="G70" s="60" t="s">
        <v>49</v>
      </c>
      <c r="H70" s="60" t="str">
        <f>VLOOKUP($G70,Sheet3!$A$1:$C$6,2,)</f>
        <v>RAFAEL CRUCERO</v>
      </c>
      <c r="I70" s="60" t="str">
        <f>VLOOKUP($G70,Sheet3!$A$1:$C$6,3,)</f>
        <v>LSI HQ PD DIV. PD THD/SOP ASSY DEPT.</v>
      </c>
      <c r="J70" s="57">
        <v>45676</v>
      </c>
      <c r="K70" s="63">
        <f t="shared" ca="1" si="3"/>
        <v>243</v>
      </c>
      <c r="L70" s="64" t="str">
        <f t="shared" ca="1" si="2"/>
        <v>UPDATED</v>
      </c>
    </row>
    <row r="71" spans="1:12" x14ac:dyDescent="0.2">
      <c r="A71" s="60" t="s">
        <v>89</v>
      </c>
      <c r="B71" s="60" t="s">
        <v>437</v>
      </c>
      <c r="C71" s="60" t="s">
        <v>247</v>
      </c>
      <c r="D71" s="56" t="s">
        <v>51</v>
      </c>
      <c r="E71" s="60" t="s">
        <v>248</v>
      </c>
      <c r="F71" s="60" t="s">
        <v>255</v>
      </c>
      <c r="G71" s="60" t="s">
        <v>49</v>
      </c>
      <c r="H71" s="60" t="str">
        <f>VLOOKUP($G71,Sheet3!$A$1:$C$6,2,)</f>
        <v>RAFAEL CRUCERO</v>
      </c>
      <c r="I71" s="60" t="str">
        <f>VLOOKUP($G71,Sheet3!$A$1:$C$6,3,)</f>
        <v>LSI HQ PD DIV. PD THD/SOP ASSY DEPT.</v>
      </c>
      <c r="J71" s="57">
        <v>45704</v>
      </c>
      <c r="K71" s="63">
        <f t="shared" ca="1" si="3"/>
        <v>215</v>
      </c>
      <c r="L71" s="64" t="str">
        <f t="shared" ca="1" si="2"/>
        <v>UPDATED</v>
      </c>
    </row>
    <row r="72" spans="1:12" x14ac:dyDescent="0.2">
      <c r="A72" s="60" t="s">
        <v>90</v>
      </c>
      <c r="B72" s="60" t="s">
        <v>445</v>
      </c>
      <c r="C72" s="60" t="s">
        <v>247</v>
      </c>
      <c r="D72" s="56" t="s">
        <v>51</v>
      </c>
      <c r="E72" s="60" t="s">
        <v>248</v>
      </c>
      <c r="F72" s="60" t="s">
        <v>262</v>
      </c>
      <c r="G72" s="60" t="s">
        <v>49</v>
      </c>
      <c r="H72" s="60" t="str">
        <f>VLOOKUP($G72,Sheet3!$A$1:$C$6,2,)</f>
        <v>RAFAEL CRUCERO</v>
      </c>
      <c r="I72" s="60" t="str">
        <f>VLOOKUP($G72,Sheet3!$A$1:$C$6,3,)</f>
        <v>LSI HQ PD DIV. PD THD/SOP ASSY DEPT.</v>
      </c>
      <c r="J72" s="57">
        <v>45703</v>
      </c>
      <c r="K72" s="63">
        <f t="shared" ca="1" si="3"/>
        <v>216</v>
      </c>
      <c r="L72" s="64" t="str">
        <f t="shared" ca="1" si="2"/>
        <v>UPDATED</v>
      </c>
    </row>
    <row r="73" spans="1:12" x14ac:dyDescent="0.2">
      <c r="A73" s="60" t="s">
        <v>91</v>
      </c>
      <c r="B73" s="60" t="s">
        <v>451</v>
      </c>
      <c r="C73" s="60" t="s">
        <v>247</v>
      </c>
      <c r="D73" s="56" t="s">
        <v>51</v>
      </c>
      <c r="E73" s="60" t="s">
        <v>248</v>
      </c>
      <c r="F73" s="60" t="s">
        <v>262</v>
      </c>
      <c r="G73" s="60" t="s">
        <v>49</v>
      </c>
      <c r="H73" s="60" t="str">
        <f>VLOOKUP($G73,Sheet3!$A$1:$C$6,2,)</f>
        <v>RAFAEL CRUCERO</v>
      </c>
      <c r="I73" s="60" t="str">
        <f>VLOOKUP($G73,Sheet3!$A$1:$C$6,3,)</f>
        <v>LSI HQ PD DIV. PD THD/SOP ASSY DEPT.</v>
      </c>
      <c r="J73" s="57">
        <v>45587</v>
      </c>
      <c r="K73" s="63">
        <f t="shared" ca="1" si="3"/>
        <v>332</v>
      </c>
      <c r="L73" s="64" t="str">
        <f t="shared" ca="1" si="2"/>
        <v>UPDATED</v>
      </c>
    </row>
    <row r="74" spans="1:12" x14ac:dyDescent="0.2">
      <c r="A74" s="60" t="s">
        <v>93</v>
      </c>
      <c r="B74" s="60" t="s">
        <v>379</v>
      </c>
      <c r="C74" s="60" t="s">
        <v>247</v>
      </c>
      <c r="D74" s="56" t="s">
        <v>52</v>
      </c>
      <c r="E74" s="60" t="s">
        <v>248</v>
      </c>
      <c r="F74" s="60" t="s">
        <v>260</v>
      </c>
      <c r="G74" s="60" t="s">
        <v>49</v>
      </c>
      <c r="H74" s="60" t="str">
        <f>VLOOKUP($G74,Sheet3!$A$1:$C$6,2,)</f>
        <v>RAFAEL CRUCERO</v>
      </c>
      <c r="I74" s="60" t="str">
        <f>VLOOKUP($G74,Sheet3!$A$1:$C$6,3,)</f>
        <v>LSI HQ PD DIV. PD THD/SOP ASSY DEPT.</v>
      </c>
      <c r="J74" s="57">
        <v>45672</v>
      </c>
      <c r="K74" s="63">
        <f t="shared" ca="1" si="3"/>
        <v>247</v>
      </c>
      <c r="L74" s="64" t="str">
        <f t="shared" ca="1" si="2"/>
        <v>UPDATED</v>
      </c>
    </row>
    <row r="75" spans="1:12" x14ac:dyDescent="0.2">
      <c r="A75" s="60" t="s">
        <v>94</v>
      </c>
      <c r="B75" s="60" t="s">
        <v>404</v>
      </c>
      <c r="C75" s="60" t="s">
        <v>247</v>
      </c>
      <c r="D75" s="56" t="s">
        <v>52</v>
      </c>
      <c r="E75" s="60" t="s">
        <v>248</v>
      </c>
      <c r="F75" s="60" t="s">
        <v>260</v>
      </c>
      <c r="G75" s="60" t="s">
        <v>49</v>
      </c>
      <c r="H75" s="60" t="str">
        <f>VLOOKUP($G75,Sheet3!$A$1:$C$6,2,)</f>
        <v>RAFAEL CRUCERO</v>
      </c>
      <c r="I75" s="60" t="str">
        <f>VLOOKUP($G75,Sheet3!$A$1:$C$6,3,)</f>
        <v>LSI HQ PD DIV. PD THD/SOP ASSY DEPT.</v>
      </c>
      <c r="J75" s="57">
        <v>45565</v>
      </c>
      <c r="K75" s="63">
        <f t="shared" ca="1" si="3"/>
        <v>354</v>
      </c>
      <c r="L75" s="64" t="str">
        <f t="shared" ca="1" si="2"/>
        <v>UPDATED</v>
      </c>
    </row>
    <row r="76" spans="1:12" x14ac:dyDescent="0.2">
      <c r="A76" s="60" t="s">
        <v>95</v>
      </c>
      <c r="B76" s="60" t="s">
        <v>419</v>
      </c>
      <c r="C76" s="60" t="s">
        <v>247</v>
      </c>
      <c r="D76" s="56" t="s">
        <v>52</v>
      </c>
      <c r="E76" s="60" t="s">
        <v>248</v>
      </c>
      <c r="F76" s="60" t="s">
        <v>260</v>
      </c>
      <c r="G76" s="60" t="s">
        <v>49</v>
      </c>
      <c r="H76" s="60" t="str">
        <f>VLOOKUP($G76,Sheet3!$A$1:$C$6,2,)</f>
        <v>RAFAEL CRUCERO</v>
      </c>
      <c r="I76" s="60" t="str">
        <f>VLOOKUP($G76,Sheet3!$A$1:$C$6,3,)</f>
        <v>LSI HQ PD DIV. PD THD/SOP ASSY DEPT.</v>
      </c>
      <c r="J76" s="57">
        <v>45508</v>
      </c>
      <c r="K76" s="63">
        <f t="shared" ca="1" si="3"/>
        <v>411</v>
      </c>
      <c r="L76" s="64" t="str">
        <f t="shared" ca="1" si="2"/>
        <v>EXPIRED</v>
      </c>
    </row>
    <row r="77" spans="1:12" x14ac:dyDescent="0.2">
      <c r="A77" s="60" t="s">
        <v>96</v>
      </c>
      <c r="B77" s="60" t="s">
        <v>400</v>
      </c>
      <c r="C77" s="60" t="s">
        <v>247</v>
      </c>
      <c r="D77" s="56" t="s">
        <v>52</v>
      </c>
      <c r="E77" s="60" t="s">
        <v>248</v>
      </c>
      <c r="F77" s="60" t="s">
        <v>271</v>
      </c>
      <c r="G77" s="60" t="s">
        <v>49</v>
      </c>
      <c r="H77" s="60" t="str">
        <f>VLOOKUP($G77,Sheet3!$A$1:$C$6,2,)</f>
        <v>RAFAEL CRUCERO</v>
      </c>
      <c r="I77" s="60" t="str">
        <f>VLOOKUP($G77,Sheet3!$A$1:$C$6,3,)</f>
        <v>LSI HQ PD DIV. PD THD/SOP ASSY DEPT.</v>
      </c>
      <c r="J77" s="57">
        <v>45521</v>
      </c>
      <c r="K77" s="63">
        <f t="shared" ca="1" si="3"/>
        <v>398</v>
      </c>
      <c r="L77" s="64" t="str">
        <f t="shared" ca="1" si="2"/>
        <v>EXPIRED</v>
      </c>
    </row>
    <row r="78" spans="1:12" x14ac:dyDescent="0.2">
      <c r="A78" s="60" t="s">
        <v>97</v>
      </c>
      <c r="B78" s="60" t="s">
        <v>389</v>
      </c>
      <c r="C78" s="60" t="s">
        <v>247</v>
      </c>
      <c r="D78" s="56" t="s">
        <v>52</v>
      </c>
      <c r="E78" s="60" t="s">
        <v>248</v>
      </c>
      <c r="F78" s="60" t="s">
        <v>255</v>
      </c>
      <c r="G78" s="60" t="s">
        <v>49</v>
      </c>
      <c r="H78" s="60" t="str">
        <f>VLOOKUP($G78,Sheet3!$A$1:$C$6,2,)</f>
        <v>RAFAEL CRUCERO</v>
      </c>
      <c r="I78" s="60" t="str">
        <f>VLOOKUP($G78,Sheet3!$A$1:$C$6,3,)</f>
        <v>LSI HQ PD DIV. PD THD/SOP ASSY DEPT.</v>
      </c>
      <c r="J78" s="57">
        <v>45696</v>
      </c>
      <c r="K78" s="63">
        <f t="shared" ca="1" si="3"/>
        <v>223</v>
      </c>
      <c r="L78" s="64" t="str">
        <f t="shared" ca="1" si="2"/>
        <v>UPDATED</v>
      </c>
    </row>
    <row r="79" spans="1:12" x14ac:dyDescent="0.2">
      <c r="A79" s="60" t="s">
        <v>98</v>
      </c>
      <c r="B79" s="60" t="s">
        <v>381</v>
      </c>
      <c r="C79" s="60" t="s">
        <v>247</v>
      </c>
      <c r="D79" s="56" t="s">
        <v>52</v>
      </c>
      <c r="E79" s="60" t="s">
        <v>248</v>
      </c>
      <c r="F79" s="60" t="s">
        <v>260</v>
      </c>
      <c r="G79" s="60" t="s">
        <v>49</v>
      </c>
      <c r="H79" s="60" t="str">
        <f>VLOOKUP($G79,Sheet3!$A$1:$C$6,2,)</f>
        <v>RAFAEL CRUCERO</v>
      </c>
      <c r="I79" s="60" t="str">
        <f>VLOOKUP($G79,Sheet3!$A$1:$C$6,3,)</f>
        <v>LSI HQ PD DIV. PD THD/SOP ASSY DEPT.</v>
      </c>
      <c r="J79" s="57">
        <v>45672</v>
      </c>
      <c r="K79" s="63">
        <f t="shared" ca="1" si="3"/>
        <v>247</v>
      </c>
      <c r="L79" s="64" t="str">
        <f t="shared" ca="1" si="2"/>
        <v>UPDATED</v>
      </c>
    </row>
    <row r="80" spans="1:12" x14ac:dyDescent="0.2">
      <c r="A80" s="60" t="s">
        <v>99</v>
      </c>
      <c r="B80" s="60" t="s">
        <v>391</v>
      </c>
      <c r="C80" s="60" t="s">
        <v>247</v>
      </c>
      <c r="D80" s="56" t="s">
        <v>52</v>
      </c>
      <c r="E80" s="60" t="s">
        <v>248</v>
      </c>
      <c r="F80" s="60" t="s">
        <v>260</v>
      </c>
      <c r="G80" s="60" t="s">
        <v>49</v>
      </c>
      <c r="H80" s="60" t="str">
        <f>VLOOKUP($G80,Sheet3!$A$1:$C$6,2,)</f>
        <v>RAFAEL CRUCERO</v>
      </c>
      <c r="I80" s="60" t="str">
        <f>VLOOKUP($G80,Sheet3!$A$1:$C$6,3,)</f>
        <v>LSI HQ PD DIV. PD THD/SOP ASSY DEPT.</v>
      </c>
      <c r="J80" s="57">
        <v>45726</v>
      </c>
      <c r="K80" s="63">
        <f t="shared" ca="1" si="3"/>
        <v>193</v>
      </c>
      <c r="L80" s="64" t="str">
        <f t="shared" ca="1" si="2"/>
        <v>UPDATED</v>
      </c>
    </row>
    <row r="81" spans="1:12" x14ac:dyDescent="0.2">
      <c r="A81" s="60" t="s">
        <v>100</v>
      </c>
      <c r="B81" s="60" t="s">
        <v>460</v>
      </c>
      <c r="C81" s="60" t="s">
        <v>247</v>
      </c>
      <c r="D81" s="56" t="s">
        <v>52</v>
      </c>
      <c r="E81" s="60" t="s">
        <v>248</v>
      </c>
      <c r="F81" s="60" t="s">
        <v>260</v>
      </c>
      <c r="G81" s="60" t="s">
        <v>49</v>
      </c>
      <c r="H81" s="60" t="str">
        <f>VLOOKUP($G81,Sheet3!$A$1:$C$6,2,)</f>
        <v>RAFAEL CRUCERO</v>
      </c>
      <c r="I81" s="60" t="str">
        <f>VLOOKUP($G81,Sheet3!$A$1:$C$6,3,)</f>
        <v>LSI HQ PD DIV. PD THD/SOP ASSY DEPT.</v>
      </c>
      <c r="J81" s="57">
        <v>45540</v>
      </c>
      <c r="K81" s="63">
        <f t="shared" ca="1" si="3"/>
        <v>379</v>
      </c>
      <c r="L81" s="64" t="str">
        <f t="shared" ca="1" si="2"/>
        <v>EXPIRED</v>
      </c>
    </row>
    <row r="82" spans="1:12" x14ac:dyDescent="0.2">
      <c r="A82" s="60" t="s">
        <v>101</v>
      </c>
      <c r="B82" s="60" t="s">
        <v>424</v>
      </c>
      <c r="C82" s="60" t="s">
        <v>247</v>
      </c>
      <c r="D82" s="56" t="s">
        <v>52</v>
      </c>
      <c r="E82" s="60" t="s">
        <v>248</v>
      </c>
      <c r="F82" s="60" t="s">
        <v>255</v>
      </c>
      <c r="G82" s="60" t="s">
        <v>49</v>
      </c>
      <c r="H82" s="60" t="str">
        <f>VLOOKUP($G82,Sheet3!$A$1:$C$6,2,)</f>
        <v>RAFAEL CRUCERO</v>
      </c>
      <c r="I82" s="60" t="str">
        <f>VLOOKUP($G82,Sheet3!$A$1:$C$6,3,)</f>
        <v>LSI HQ PD DIV. PD THD/SOP ASSY DEPT.</v>
      </c>
      <c r="J82" s="57">
        <v>45551</v>
      </c>
      <c r="K82" s="63">
        <f t="shared" ca="1" si="3"/>
        <v>368</v>
      </c>
      <c r="L82" s="64" t="str">
        <f t="shared" ca="1" si="2"/>
        <v>EXPIRED</v>
      </c>
    </row>
    <row r="83" spans="1:12" x14ac:dyDescent="0.2">
      <c r="A83" s="60" t="s">
        <v>102</v>
      </c>
      <c r="B83" s="60" t="s">
        <v>387</v>
      </c>
      <c r="C83" s="60" t="s">
        <v>247</v>
      </c>
      <c r="D83" s="56" t="s">
        <v>52</v>
      </c>
      <c r="E83" s="60" t="s">
        <v>248</v>
      </c>
      <c r="F83" s="60" t="s">
        <v>255</v>
      </c>
      <c r="G83" s="60" t="s">
        <v>49</v>
      </c>
      <c r="H83" s="60" t="str">
        <f>VLOOKUP($G83,Sheet3!$A$1:$C$6,2,)</f>
        <v>RAFAEL CRUCERO</v>
      </c>
      <c r="I83" s="60" t="str">
        <f>VLOOKUP($G83,Sheet3!$A$1:$C$6,3,)</f>
        <v>LSI HQ PD DIV. PD THD/SOP ASSY DEPT.</v>
      </c>
      <c r="J83" s="57">
        <v>45699</v>
      </c>
      <c r="K83" s="63">
        <f t="shared" ca="1" si="3"/>
        <v>220</v>
      </c>
      <c r="L83" s="64" t="str">
        <f t="shared" ca="1" si="2"/>
        <v>UPDATED</v>
      </c>
    </row>
    <row r="84" spans="1:12" x14ac:dyDescent="0.2">
      <c r="A84" s="60" t="s">
        <v>103</v>
      </c>
      <c r="B84" s="60" t="e">
        <v>#N/A</v>
      </c>
      <c r="C84" s="60" t="e">
        <v>#N/A</v>
      </c>
      <c r="D84" s="56" t="e">
        <v>#N/A</v>
      </c>
      <c r="E84" s="60" t="e">
        <v>#N/A</v>
      </c>
      <c r="F84" s="60" t="e">
        <v>#N/A</v>
      </c>
      <c r="G84" s="60" t="s">
        <v>49</v>
      </c>
      <c r="H84" s="60" t="str">
        <f>VLOOKUP($G84,Sheet3!$A$1:$C$6,2,)</f>
        <v>RAFAEL CRUCERO</v>
      </c>
      <c r="I84" s="60" t="str">
        <f>VLOOKUP($G84,Sheet3!$A$1:$C$6,3,)</f>
        <v>LSI HQ PD DIV. PD THD/SOP ASSY DEPT.</v>
      </c>
      <c r="J84" s="57" t="e">
        <v>#N/A</v>
      </c>
      <c r="K84" s="63" t="e">
        <f t="shared" ca="1" si="3"/>
        <v>#N/A</v>
      </c>
      <c r="L84" s="64" t="e">
        <f t="shared" ca="1" si="2"/>
        <v>#N/A</v>
      </c>
    </row>
    <row r="85" spans="1:12" x14ac:dyDescent="0.2">
      <c r="A85" s="60" t="s">
        <v>104</v>
      </c>
      <c r="B85" s="60" t="s">
        <v>385</v>
      </c>
      <c r="C85" s="60" t="s">
        <v>247</v>
      </c>
      <c r="D85" s="56" t="s">
        <v>52</v>
      </c>
      <c r="E85" s="60" t="s">
        <v>248</v>
      </c>
      <c r="F85" s="60" t="s">
        <v>262</v>
      </c>
      <c r="G85" s="60" t="s">
        <v>49</v>
      </c>
      <c r="H85" s="60" t="str">
        <f>VLOOKUP($G85,Sheet3!$A$1:$C$6,2,)</f>
        <v>RAFAEL CRUCERO</v>
      </c>
      <c r="I85" s="60" t="str">
        <f>VLOOKUP($G85,Sheet3!$A$1:$C$6,3,)</f>
        <v>LSI HQ PD DIV. PD THD/SOP ASSY DEPT.</v>
      </c>
      <c r="J85" s="57">
        <v>45684</v>
      </c>
      <c r="K85" s="63">
        <f t="shared" ca="1" si="3"/>
        <v>235</v>
      </c>
      <c r="L85" s="64" t="str">
        <f t="shared" ca="1" si="2"/>
        <v>UPDATED</v>
      </c>
    </row>
    <row r="86" spans="1:12" x14ac:dyDescent="0.2">
      <c r="A86" s="60" t="s">
        <v>105</v>
      </c>
      <c r="B86" s="60" t="s">
        <v>399</v>
      </c>
      <c r="C86" s="60" t="s">
        <v>247</v>
      </c>
      <c r="D86" s="56" t="s">
        <v>52</v>
      </c>
      <c r="E86" s="60" t="s">
        <v>248</v>
      </c>
      <c r="F86" s="60" t="s">
        <v>252</v>
      </c>
      <c r="G86" s="60" t="s">
        <v>49</v>
      </c>
      <c r="H86" s="60" t="str">
        <f>VLOOKUP($G86,Sheet3!$A$1:$C$6,2,)</f>
        <v>RAFAEL CRUCERO</v>
      </c>
      <c r="I86" s="60" t="str">
        <f>VLOOKUP($G86,Sheet3!$A$1:$C$6,3,)</f>
        <v>LSI HQ PD DIV. PD THD/SOP ASSY DEPT.</v>
      </c>
      <c r="J86" s="57">
        <v>45524</v>
      </c>
      <c r="K86" s="63">
        <f t="shared" ca="1" si="3"/>
        <v>395</v>
      </c>
      <c r="L86" s="64" t="str">
        <f t="shared" ca="1" si="2"/>
        <v>EXPIRED</v>
      </c>
    </row>
    <row r="87" spans="1:12" x14ac:dyDescent="0.2">
      <c r="A87" s="60" t="s">
        <v>106</v>
      </c>
      <c r="B87" s="60" t="s">
        <v>384</v>
      </c>
      <c r="C87" s="60" t="s">
        <v>247</v>
      </c>
      <c r="D87" s="56" t="s">
        <v>52</v>
      </c>
      <c r="E87" s="60" t="s">
        <v>248</v>
      </c>
      <c r="F87" s="60" t="s">
        <v>255</v>
      </c>
      <c r="G87" s="60" t="s">
        <v>49</v>
      </c>
      <c r="H87" s="60" t="str">
        <f>VLOOKUP($G87,Sheet3!$A$1:$C$6,2,)</f>
        <v>RAFAEL CRUCERO</v>
      </c>
      <c r="I87" s="60" t="str">
        <f>VLOOKUP($G87,Sheet3!$A$1:$C$6,3,)</f>
        <v>LSI HQ PD DIV. PD THD/SOP ASSY DEPT.</v>
      </c>
      <c r="J87" s="57">
        <v>45680</v>
      </c>
      <c r="K87" s="63">
        <f t="shared" ca="1" si="3"/>
        <v>239</v>
      </c>
      <c r="L87" s="64" t="str">
        <f t="shared" ca="1" si="2"/>
        <v>UPDATED</v>
      </c>
    </row>
    <row r="88" spans="1:12" x14ac:dyDescent="0.2">
      <c r="A88" s="60" t="s">
        <v>107</v>
      </c>
      <c r="B88" s="60" t="s">
        <v>414</v>
      </c>
      <c r="C88" s="60" t="s">
        <v>247</v>
      </c>
      <c r="D88" s="56" t="s">
        <v>52</v>
      </c>
      <c r="E88" s="60" t="s">
        <v>248</v>
      </c>
      <c r="F88" s="60" t="s">
        <v>260</v>
      </c>
      <c r="G88" s="60" t="s">
        <v>49</v>
      </c>
      <c r="H88" s="60" t="str">
        <f>VLOOKUP($G88,Sheet3!$A$1:$C$6,2,)</f>
        <v>RAFAEL CRUCERO</v>
      </c>
      <c r="I88" s="60" t="str">
        <f>VLOOKUP($G88,Sheet3!$A$1:$C$6,3,)</f>
        <v>LSI HQ PD DIV. PD THD/SOP ASSY DEPT.</v>
      </c>
      <c r="J88" s="57">
        <v>45685</v>
      </c>
      <c r="K88" s="63">
        <f t="shared" ca="1" si="3"/>
        <v>234</v>
      </c>
      <c r="L88" s="64" t="str">
        <f t="shared" ca="1" si="2"/>
        <v>UPDATED</v>
      </c>
    </row>
    <row r="89" spans="1:12" x14ac:dyDescent="0.2">
      <c r="A89" s="60" t="s">
        <v>325</v>
      </c>
      <c r="B89" s="60" t="s">
        <v>326</v>
      </c>
      <c r="C89" s="60" t="s">
        <v>247</v>
      </c>
      <c r="D89" s="56" t="s">
        <v>55</v>
      </c>
      <c r="E89" s="60" t="s">
        <v>248</v>
      </c>
      <c r="F89" s="60" t="s">
        <v>253</v>
      </c>
      <c r="G89" s="60" t="s">
        <v>49</v>
      </c>
      <c r="H89" s="60" t="str">
        <f>VLOOKUP($G89,Sheet3!$A$1:$C$6,2,)</f>
        <v>RAFAEL CRUCERO</v>
      </c>
      <c r="I89" s="60" t="str">
        <f>VLOOKUP($G89,Sheet3!$A$1:$C$6,3,)</f>
        <v>LSI HQ PD DIV. PD THD/SOP ASSY DEPT.</v>
      </c>
      <c r="J89" s="57">
        <v>45457</v>
      </c>
      <c r="K89" s="63">
        <f t="shared" ca="1" si="3"/>
        <v>462</v>
      </c>
      <c r="L89" s="64" t="str">
        <f t="shared" ref="L89:L120" ca="1" si="4">IF(K89&gt;=365,"EXPIRED","UPDATED")</f>
        <v>EXPIRED</v>
      </c>
    </row>
    <row r="90" spans="1:12" x14ac:dyDescent="0.2">
      <c r="A90" s="60" t="s">
        <v>213</v>
      </c>
      <c r="B90" s="60" t="s">
        <v>322</v>
      </c>
      <c r="C90" s="60" t="s">
        <v>247</v>
      </c>
      <c r="D90" s="56" t="s">
        <v>55</v>
      </c>
      <c r="E90" s="60" t="s">
        <v>248</v>
      </c>
      <c r="F90" s="60" t="s">
        <v>271</v>
      </c>
      <c r="G90" s="60" t="s">
        <v>49</v>
      </c>
      <c r="H90" s="60" t="str">
        <f>VLOOKUP($G90,Sheet3!$A$1:$C$6,2,)</f>
        <v>RAFAEL CRUCERO</v>
      </c>
      <c r="I90" s="60" t="str">
        <f>VLOOKUP($G90,Sheet3!$A$1:$C$6,3,)</f>
        <v>LSI HQ PD DIV. PD THD/SOP ASSY DEPT.</v>
      </c>
      <c r="J90" s="57">
        <v>45450</v>
      </c>
      <c r="K90" s="63">
        <f t="shared" ca="1" si="3"/>
        <v>469</v>
      </c>
      <c r="L90" s="64" t="str">
        <f t="shared" ca="1" si="4"/>
        <v>EXPIRED</v>
      </c>
    </row>
    <row r="91" spans="1:12" x14ac:dyDescent="0.2">
      <c r="A91" s="60" t="s">
        <v>185</v>
      </c>
      <c r="B91" s="60" t="s">
        <v>321</v>
      </c>
      <c r="C91" s="60" t="s">
        <v>247</v>
      </c>
      <c r="D91" s="56" t="s">
        <v>55</v>
      </c>
      <c r="E91" s="60" t="s">
        <v>248</v>
      </c>
      <c r="F91" s="60" t="s">
        <v>260</v>
      </c>
      <c r="G91" s="60" t="s">
        <v>49</v>
      </c>
      <c r="H91" s="60" t="str">
        <f>VLOOKUP($G91,Sheet3!$A$1:$C$6,2,)</f>
        <v>RAFAEL CRUCERO</v>
      </c>
      <c r="I91" s="60" t="str">
        <f>VLOOKUP($G91,Sheet3!$A$1:$C$6,3,)</f>
        <v>LSI HQ PD DIV. PD THD/SOP ASSY DEPT.</v>
      </c>
      <c r="J91" s="57">
        <v>45428</v>
      </c>
      <c r="K91" s="63">
        <f t="shared" ca="1" si="3"/>
        <v>491</v>
      </c>
      <c r="L91" s="64" t="str">
        <f t="shared" ca="1" si="4"/>
        <v>EXPIRED</v>
      </c>
    </row>
    <row r="92" spans="1:12" x14ac:dyDescent="0.2">
      <c r="A92" s="60" t="s">
        <v>111</v>
      </c>
      <c r="B92" s="60" t="s">
        <v>378</v>
      </c>
      <c r="C92" s="60" t="s">
        <v>247</v>
      </c>
      <c r="D92" s="56" t="s">
        <v>52</v>
      </c>
      <c r="E92" s="60" t="s">
        <v>248</v>
      </c>
      <c r="F92" s="60" t="s">
        <v>271</v>
      </c>
      <c r="G92" s="60" t="s">
        <v>49</v>
      </c>
      <c r="H92" s="60" t="str">
        <f>VLOOKUP($G92,Sheet3!$A$1:$C$6,2,)</f>
        <v>RAFAEL CRUCERO</v>
      </c>
      <c r="I92" s="60" t="str">
        <f>VLOOKUP($G92,Sheet3!$A$1:$C$6,3,)</f>
        <v>LSI HQ PD DIV. PD THD/SOP ASSY DEPT.</v>
      </c>
      <c r="J92" s="57">
        <v>45661</v>
      </c>
      <c r="K92" s="63">
        <f t="shared" ca="1" si="3"/>
        <v>258</v>
      </c>
      <c r="L92" s="64" t="str">
        <f t="shared" ca="1" si="4"/>
        <v>UPDATED</v>
      </c>
    </row>
    <row r="93" spans="1:12" x14ac:dyDescent="0.2">
      <c r="A93" s="60" t="s">
        <v>112</v>
      </c>
      <c r="B93" s="60" t="s">
        <v>462</v>
      </c>
      <c r="C93" s="60" t="s">
        <v>247</v>
      </c>
      <c r="D93" s="56" t="s">
        <v>52</v>
      </c>
      <c r="E93" s="60" t="s">
        <v>248</v>
      </c>
      <c r="F93" s="60" t="s">
        <v>260</v>
      </c>
      <c r="G93" s="60" t="s">
        <v>49</v>
      </c>
      <c r="H93" s="60" t="str">
        <f>VLOOKUP($G93,Sheet3!$A$1:$C$6,2,)</f>
        <v>RAFAEL CRUCERO</v>
      </c>
      <c r="I93" s="60" t="str">
        <f>VLOOKUP($G93,Sheet3!$A$1:$C$6,3,)</f>
        <v>LSI HQ PD DIV. PD THD/SOP ASSY DEPT.</v>
      </c>
      <c r="J93" s="57">
        <v>45689</v>
      </c>
      <c r="K93" s="63">
        <f t="shared" ca="1" si="3"/>
        <v>230</v>
      </c>
      <c r="L93" s="64" t="str">
        <f t="shared" ca="1" si="4"/>
        <v>UPDATED</v>
      </c>
    </row>
    <row r="94" spans="1:12" x14ac:dyDescent="0.2">
      <c r="A94" s="60" t="s">
        <v>201</v>
      </c>
      <c r="B94" s="60" t="s">
        <v>495</v>
      </c>
      <c r="C94" s="60" t="s">
        <v>247</v>
      </c>
      <c r="D94" s="56" t="s">
        <v>55</v>
      </c>
      <c r="E94" s="60" t="s">
        <v>248</v>
      </c>
      <c r="F94" s="60" t="s">
        <v>262</v>
      </c>
      <c r="G94" s="60" t="s">
        <v>49</v>
      </c>
      <c r="H94" s="60" t="str">
        <f>VLOOKUP($G94,Sheet3!$A$1:$C$6,2,)</f>
        <v>RAFAEL CRUCERO</v>
      </c>
      <c r="I94" s="60" t="str">
        <f>VLOOKUP($G94,Sheet3!$A$1:$C$6,3,)</f>
        <v>LSI HQ PD DIV. PD THD/SOP ASSY DEPT.</v>
      </c>
      <c r="J94" s="57">
        <v>45422</v>
      </c>
      <c r="K94" s="63">
        <f t="shared" ca="1" si="3"/>
        <v>497</v>
      </c>
      <c r="L94" s="64" t="str">
        <f t="shared" ca="1" si="4"/>
        <v>EXPIRED</v>
      </c>
    </row>
    <row r="95" spans="1:12" x14ac:dyDescent="0.2">
      <c r="A95" s="60" t="s">
        <v>114</v>
      </c>
      <c r="B95" s="60" t="s">
        <v>398</v>
      </c>
      <c r="C95" s="60" t="s">
        <v>247</v>
      </c>
      <c r="D95" s="56" t="s">
        <v>52</v>
      </c>
      <c r="E95" s="60" t="s">
        <v>248</v>
      </c>
      <c r="F95" s="60" t="s">
        <v>260</v>
      </c>
      <c r="G95" s="60" t="s">
        <v>49</v>
      </c>
      <c r="H95" s="60" t="str">
        <f>VLOOKUP($G95,Sheet3!$A$1:$C$6,2,)</f>
        <v>RAFAEL CRUCERO</v>
      </c>
      <c r="I95" s="60" t="str">
        <f>VLOOKUP($G95,Sheet3!$A$1:$C$6,3,)</f>
        <v>LSI HQ PD DIV. PD THD/SOP ASSY DEPT.</v>
      </c>
      <c r="J95" s="57">
        <v>45523</v>
      </c>
      <c r="K95" s="63">
        <f t="shared" ca="1" si="3"/>
        <v>396</v>
      </c>
      <c r="L95" s="64" t="str">
        <f t="shared" ca="1" si="4"/>
        <v>EXPIRED</v>
      </c>
    </row>
    <row r="96" spans="1:12" x14ac:dyDescent="0.2">
      <c r="A96" s="60" t="s">
        <v>115</v>
      </c>
      <c r="B96" s="60" t="s">
        <v>423</v>
      </c>
      <c r="C96" s="60" t="s">
        <v>247</v>
      </c>
      <c r="D96" s="56" t="s">
        <v>52</v>
      </c>
      <c r="E96" s="60" t="s">
        <v>248</v>
      </c>
      <c r="F96" s="60" t="s">
        <v>255</v>
      </c>
      <c r="G96" s="60" t="s">
        <v>49</v>
      </c>
      <c r="H96" s="60" t="str">
        <f>VLOOKUP($G96,Sheet3!$A$1:$C$6,2,)</f>
        <v>RAFAEL CRUCERO</v>
      </c>
      <c r="I96" s="60" t="str">
        <f>VLOOKUP($G96,Sheet3!$A$1:$C$6,3,)</f>
        <v>LSI HQ PD DIV. PD THD/SOP ASSY DEPT.</v>
      </c>
      <c r="J96" s="57">
        <v>45644</v>
      </c>
      <c r="K96" s="63">
        <f t="shared" ca="1" si="3"/>
        <v>275</v>
      </c>
      <c r="L96" s="64" t="str">
        <f t="shared" ca="1" si="4"/>
        <v>UPDATED</v>
      </c>
    </row>
    <row r="97" spans="1:12" x14ac:dyDescent="0.2">
      <c r="A97" s="60" t="s">
        <v>116</v>
      </c>
      <c r="B97" s="60" t="s">
        <v>499</v>
      </c>
      <c r="C97" s="60" t="s">
        <v>247</v>
      </c>
      <c r="D97" s="56" t="s">
        <v>52</v>
      </c>
      <c r="E97" s="60" t="s">
        <v>248</v>
      </c>
      <c r="F97" s="60" t="s">
        <v>260</v>
      </c>
      <c r="G97" s="60" t="s">
        <v>49</v>
      </c>
      <c r="H97" s="60" t="str">
        <f>VLOOKUP($G97,Sheet3!$A$1:$C$6,2,)</f>
        <v>RAFAEL CRUCERO</v>
      </c>
      <c r="I97" s="60" t="str">
        <f>VLOOKUP($G97,Sheet3!$A$1:$C$6,3,)</f>
        <v>LSI HQ PD DIV. PD THD/SOP ASSY DEPT.</v>
      </c>
      <c r="J97" s="57">
        <v>45509</v>
      </c>
      <c r="K97" s="63">
        <f t="shared" ca="1" si="3"/>
        <v>410</v>
      </c>
      <c r="L97" s="64" t="str">
        <f t="shared" ca="1" si="4"/>
        <v>EXPIRED</v>
      </c>
    </row>
    <row r="98" spans="1:12" x14ac:dyDescent="0.2">
      <c r="A98" s="60" t="s">
        <v>196</v>
      </c>
      <c r="B98" s="60" t="s">
        <v>493</v>
      </c>
      <c r="C98" s="60" t="s">
        <v>247</v>
      </c>
      <c r="D98" s="56" t="s">
        <v>55</v>
      </c>
      <c r="E98" s="60" t="s">
        <v>248</v>
      </c>
      <c r="F98" s="60" t="s">
        <v>271</v>
      </c>
      <c r="G98" s="60" t="s">
        <v>49</v>
      </c>
      <c r="H98" s="60" t="str">
        <f>VLOOKUP($G98,Sheet3!$A$1:$C$6,2,)</f>
        <v>RAFAEL CRUCERO</v>
      </c>
      <c r="I98" s="60" t="str">
        <f>VLOOKUP($G98,Sheet3!$A$1:$C$6,3,)</f>
        <v>LSI HQ PD DIV. PD THD/SOP ASSY DEPT.</v>
      </c>
      <c r="J98" s="57">
        <v>45417</v>
      </c>
      <c r="K98" s="63">
        <f t="shared" ca="1" si="3"/>
        <v>502</v>
      </c>
      <c r="L98" s="64" t="str">
        <f t="shared" ca="1" si="4"/>
        <v>EXPIRED</v>
      </c>
    </row>
    <row r="99" spans="1:12" x14ac:dyDescent="0.2">
      <c r="A99" s="60" t="s">
        <v>118</v>
      </c>
      <c r="B99" s="60" t="s">
        <v>406</v>
      </c>
      <c r="C99" s="60" t="s">
        <v>247</v>
      </c>
      <c r="D99" s="56" t="s">
        <v>52</v>
      </c>
      <c r="E99" s="60" t="s">
        <v>248</v>
      </c>
      <c r="F99" s="60" t="s">
        <v>252</v>
      </c>
      <c r="G99" s="60" t="s">
        <v>49</v>
      </c>
      <c r="H99" s="60" t="str">
        <f>VLOOKUP($G99,Sheet3!$A$1:$C$6,2,)</f>
        <v>RAFAEL CRUCERO</v>
      </c>
      <c r="I99" s="60" t="str">
        <f>VLOOKUP($G99,Sheet3!$A$1:$C$6,3,)</f>
        <v>LSI HQ PD DIV. PD THD/SOP ASSY DEPT.</v>
      </c>
      <c r="J99" s="57">
        <v>45582</v>
      </c>
      <c r="K99" s="63">
        <f t="shared" ca="1" si="3"/>
        <v>337</v>
      </c>
      <c r="L99" s="64" t="str">
        <f t="shared" ca="1" si="4"/>
        <v>UPDATED</v>
      </c>
    </row>
    <row r="100" spans="1:12" x14ac:dyDescent="0.2">
      <c r="A100" s="60" t="s">
        <v>238</v>
      </c>
      <c r="B100" s="60" t="s">
        <v>237</v>
      </c>
      <c r="C100" s="60" t="s">
        <v>247</v>
      </c>
      <c r="D100" s="56" t="s">
        <v>55</v>
      </c>
      <c r="E100" s="60" t="s">
        <v>248</v>
      </c>
      <c r="F100" s="60" t="s">
        <v>255</v>
      </c>
      <c r="G100" s="60" t="s">
        <v>49</v>
      </c>
      <c r="H100" s="60" t="str">
        <f>VLOOKUP($G100,Sheet3!$A$1:$C$6,2,)</f>
        <v>RAFAEL CRUCERO</v>
      </c>
      <c r="I100" s="60" t="str">
        <f>VLOOKUP($G100,Sheet3!$A$1:$C$6,3,)</f>
        <v>LSI HQ PD DIV. PD THD/SOP ASSY DEPT.</v>
      </c>
      <c r="J100" s="57">
        <v>45417</v>
      </c>
      <c r="K100" s="63">
        <f t="shared" ca="1" si="3"/>
        <v>502</v>
      </c>
      <c r="L100" s="64" t="str">
        <f t="shared" ca="1" si="4"/>
        <v>EXPIRED</v>
      </c>
    </row>
    <row r="101" spans="1:12" x14ac:dyDescent="0.2">
      <c r="A101" s="60" t="s">
        <v>218</v>
      </c>
      <c r="B101" s="60" t="s">
        <v>320</v>
      </c>
      <c r="C101" s="60" t="s">
        <v>247</v>
      </c>
      <c r="D101" s="56" t="s">
        <v>55</v>
      </c>
      <c r="E101" s="60" t="s">
        <v>248</v>
      </c>
      <c r="F101" s="60" t="s">
        <v>271</v>
      </c>
      <c r="G101" s="60" t="s">
        <v>49</v>
      </c>
      <c r="H101" s="60" t="str">
        <f>VLOOKUP($G101,Sheet3!$A$1:$C$6,2,)</f>
        <v>RAFAEL CRUCERO</v>
      </c>
      <c r="I101" s="60" t="str">
        <f>VLOOKUP($G101,Sheet3!$A$1:$C$6,3,)</f>
        <v>LSI HQ PD DIV. PD THD/SOP ASSY DEPT.</v>
      </c>
      <c r="J101" s="57">
        <v>45414</v>
      </c>
      <c r="K101" s="63">
        <f t="shared" ca="1" si="3"/>
        <v>505</v>
      </c>
      <c r="L101" s="64" t="str">
        <f t="shared" ca="1" si="4"/>
        <v>EXPIRED</v>
      </c>
    </row>
    <row r="102" spans="1:12" x14ac:dyDescent="0.2">
      <c r="A102" s="60" t="s">
        <v>170</v>
      </c>
      <c r="B102" s="60" t="s">
        <v>270</v>
      </c>
      <c r="C102" s="60" t="s">
        <v>247</v>
      </c>
      <c r="D102" s="56" t="s">
        <v>55</v>
      </c>
      <c r="E102" s="60" t="s">
        <v>248</v>
      </c>
      <c r="F102" s="60" t="s">
        <v>255</v>
      </c>
      <c r="G102" s="60" t="s">
        <v>49</v>
      </c>
      <c r="H102" s="60" t="str">
        <f>VLOOKUP($G102,Sheet3!$A$1:$C$6,2,)</f>
        <v>RAFAEL CRUCERO</v>
      </c>
      <c r="I102" s="60" t="str">
        <f>VLOOKUP($G102,Sheet3!$A$1:$C$6,3,)</f>
        <v>LSI HQ PD DIV. PD THD/SOP ASSY DEPT.</v>
      </c>
      <c r="J102" s="57">
        <v>45388</v>
      </c>
      <c r="K102" s="63">
        <f t="shared" ca="1" si="3"/>
        <v>531</v>
      </c>
      <c r="L102" s="64" t="str">
        <f t="shared" ca="1" si="4"/>
        <v>EXPIRED</v>
      </c>
    </row>
    <row r="103" spans="1:12" x14ac:dyDescent="0.2">
      <c r="A103" s="60" t="s">
        <v>122</v>
      </c>
      <c r="B103" s="60" t="s">
        <v>415</v>
      </c>
      <c r="C103" s="60" t="s">
        <v>247</v>
      </c>
      <c r="D103" s="56" t="s">
        <v>52</v>
      </c>
      <c r="E103" s="60" t="s">
        <v>248</v>
      </c>
      <c r="F103" s="60" t="s">
        <v>252</v>
      </c>
      <c r="G103" s="60" t="s">
        <v>49</v>
      </c>
      <c r="H103" s="60" t="str">
        <f>VLOOKUP($G103,Sheet3!$A$1:$C$6,2,)</f>
        <v>RAFAEL CRUCERO</v>
      </c>
      <c r="I103" s="60" t="str">
        <f>VLOOKUP($G103,Sheet3!$A$1:$C$6,3,)</f>
        <v>LSI HQ PD DIV. PD THD/SOP ASSY DEPT.</v>
      </c>
      <c r="J103" s="57">
        <v>45571</v>
      </c>
      <c r="K103" s="63">
        <f t="shared" ca="1" si="3"/>
        <v>348</v>
      </c>
      <c r="L103" s="64" t="str">
        <f t="shared" ca="1" si="4"/>
        <v>UPDATED</v>
      </c>
    </row>
    <row r="104" spans="1:12" x14ac:dyDescent="0.2">
      <c r="A104" s="60" t="s">
        <v>123</v>
      </c>
      <c r="B104" s="60" t="s">
        <v>397</v>
      </c>
      <c r="C104" s="60" t="s">
        <v>247</v>
      </c>
      <c r="D104" s="56" t="s">
        <v>52</v>
      </c>
      <c r="E104" s="60" t="s">
        <v>248</v>
      </c>
      <c r="F104" s="60" t="s">
        <v>252</v>
      </c>
      <c r="G104" s="60" t="s">
        <v>49</v>
      </c>
      <c r="H104" s="60" t="str">
        <f>VLOOKUP($G104,Sheet3!$A$1:$C$6,2,)</f>
        <v>RAFAEL CRUCERO</v>
      </c>
      <c r="I104" s="60" t="str">
        <f>VLOOKUP($G104,Sheet3!$A$1:$C$6,3,)</f>
        <v>LSI HQ PD DIV. PD THD/SOP ASSY DEPT.</v>
      </c>
      <c r="J104" s="57">
        <v>45523</v>
      </c>
      <c r="K104" s="63">
        <f t="shared" ca="1" si="3"/>
        <v>396</v>
      </c>
      <c r="L104" s="64" t="str">
        <f t="shared" ca="1" si="4"/>
        <v>EXPIRED</v>
      </c>
    </row>
    <row r="105" spans="1:12" x14ac:dyDescent="0.2">
      <c r="A105" s="60" t="s">
        <v>124</v>
      </c>
      <c r="B105" s="60" t="s">
        <v>401</v>
      </c>
      <c r="C105" s="60" t="s">
        <v>247</v>
      </c>
      <c r="D105" s="56" t="s">
        <v>52</v>
      </c>
      <c r="E105" s="60" t="s">
        <v>248</v>
      </c>
      <c r="F105" s="60" t="s">
        <v>252</v>
      </c>
      <c r="G105" s="60" t="s">
        <v>49</v>
      </c>
      <c r="H105" s="60" t="str">
        <f>VLOOKUP($G105,Sheet3!$A$1:$C$6,2,)</f>
        <v>RAFAEL CRUCERO</v>
      </c>
      <c r="I105" s="60" t="str">
        <f>VLOOKUP($G105,Sheet3!$A$1:$C$6,3,)</f>
        <v>LSI HQ PD DIV. PD THD/SOP ASSY DEPT.</v>
      </c>
      <c r="J105" s="57">
        <v>45534</v>
      </c>
      <c r="K105" s="63">
        <f t="shared" ca="1" si="3"/>
        <v>385</v>
      </c>
      <c r="L105" s="64" t="str">
        <f t="shared" ca="1" si="4"/>
        <v>EXPIRED</v>
      </c>
    </row>
    <row r="106" spans="1:12" x14ac:dyDescent="0.2">
      <c r="A106" s="60" t="s">
        <v>227</v>
      </c>
      <c r="B106" s="60" t="s">
        <v>319</v>
      </c>
      <c r="C106" s="60" t="s">
        <v>247</v>
      </c>
      <c r="D106" s="56" t="s">
        <v>55</v>
      </c>
      <c r="E106" s="60" t="s">
        <v>248</v>
      </c>
      <c r="F106" s="60" t="s">
        <v>260</v>
      </c>
      <c r="G106" s="60" t="s">
        <v>49</v>
      </c>
      <c r="H106" s="60" t="str">
        <f>VLOOKUP($G106,Sheet3!$A$1:$C$6,2,)</f>
        <v>RAFAEL CRUCERO</v>
      </c>
      <c r="I106" s="60" t="str">
        <f>VLOOKUP($G106,Sheet3!$A$1:$C$6,3,)</f>
        <v>LSI HQ PD DIV. PD THD/SOP ASSY DEPT.</v>
      </c>
      <c r="J106" s="57">
        <v>45386</v>
      </c>
      <c r="K106" s="63">
        <f t="shared" ca="1" si="3"/>
        <v>533</v>
      </c>
      <c r="L106" s="64" t="str">
        <f t="shared" ca="1" si="4"/>
        <v>EXPIRED</v>
      </c>
    </row>
    <row r="107" spans="1:12" x14ac:dyDescent="0.2">
      <c r="A107" s="60" t="s">
        <v>126</v>
      </c>
      <c r="B107" s="60" t="s">
        <v>377</v>
      </c>
      <c r="C107" s="60" t="s">
        <v>247</v>
      </c>
      <c r="D107" s="56" t="s">
        <v>52</v>
      </c>
      <c r="E107" s="60" t="s">
        <v>248</v>
      </c>
      <c r="F107" s="60" t="s">
        <v>255</v>
      </c>
      <c r="G107" s="60" t="s">
        <v>49</v>
      </c>
      <c r="H107" s="60" t="str">
        <f>VLOOKUP($G107,Sheet3!$A$1:$C$6,2,)</f>
        <v>RAFAEL CRUCERO</v>
      </c>
      <c r="I107" s="60" t="str">
        <f>VLOOKUP($G107,Sheet3!$A$1:$C$6,3,)</f>
        <v>LSI HQ PD DIV. PD THD/SOP ASSY DEPT.</v>
      </c>
      <c r="J107" s="57">
        <v>45652</v>
      </c>
      <c r="K107" s="63">
        <f t="shared" ca="1" si="3"/>
        <v>267</v>
      </c>
      <c r="L107" s="64" t="str">
        <f t="shared" ca="1" si="4"/>
        <v>UPDATED</v>
      </c>
    </row>
    <row r="108" spans="1:12" x14ac:dyDescent="0.2">
      <c r="A108" s="60" t="s">
        <v>127</v>
      </c>
      <c r="B108" s="60" t="s">
        <v>421</v>
      </c>
      <c r="C108" s="60" t="s">
        <v>247</v>
      </c>
      <c r="D108" s="56" t="s">
        <v>52</v>
      </c>
      <c r="E108" s="60" t="s">
        <v>248</v>
      </c>
      <c r="F108" s="60" t="s">
        <v>252</v>
      </c>
      <c r="G108" s="60" t="s">
        <v>49</v>
      </c>
      <c r="H108" s="60" t="str">
        <f>VLOOKUP($G108,Sheet3!$A$1:$C$6,2,)</f>
        <v>RAFAEL CRUCERO</v>
      </c>
      <c r="I108" s="60" t="str">
        <f>VLOOKUP($G108,Sheet3!$A$1:$C$6,3,)</f>
        <v>LSI HQ PD DIV. PD THD/SOP ASSY DEPT.</v>
      </c>
      <c r="J108" s="57">
        <v>45522</v>
      </c>
      <c r="K108" s="63">
        <f t="shared" ca="1" si="3"/>
        <v>397</v>
      </c>
      <c r="L108" s="64" t="str">
        <f t="shared" ca="1" si="4"/>
        <v>EXPIRED</v>
      </c>
    </row>
    <row r="109" spans="1:12" x14ac:dyDescent="0.2">
      <c r="A109" s="60" t="s">
        <v>207</v>
      </c>
      <c r="B109" s="60" t="s">
        <v>318</v>
      </c>
      <c r="C109" s="60" t="s">
        <v>247</v>
      </c>
      <c r="D109" s="56" t="s">
        <v>55</v>
      </c>
      <c r="E109" s="60" t="s">
        <v>248</v>
      </c>
      <c r="F109" s="60" t="s">
        <v>262</v>
      </c>
      <c r="G109" s="60" t="s">
        <v>49</v>
      </c>
      <c r="H109" s="60" t="str">
        <f>VLOOKUP($G109,Sheet3!$A$1:$C$6,2,)</f>
        <v>RAFAEL CRUCERO</v>
      </c>
      <c r="I109" s="60" t="str">
        <f>VLOOKUP($G109,Sheet3!$A$1:$C$6,3,)</f>
        <v>LSI HQ PD DIV. PD THD/SOP ASSY DEPT.</v>
      </c>
      <c r="J109" s="57">
        <v>45385</v>
      </c>
      <c r="K109" s="63">
        <f t="shared" ca="1" si="3"/>
        <v>534</v>
      </c>
      <c r="L109" s="64" t="str">
        <f t="shared" ca="1" si="4"/>
        <v>EXPIRED</v>
      </c>
    </row>
    <row r="110" spans="1:12" x14ac:dyDescent="0.2">
      <c r="A110" s="60" t="s">
        <v>129</v>
      </c>
      <c r="B110" s="60" t="s">
        <v>410</v>
      </c>
      <c r="C110" s="60" t="s">
        <v>247</v>
      </c>
      <c r="D110" s="56" t="s">
        <v>52</v>
      </c>
      <c r="E110" s="60" t="s">
        <v>248</v>
      </c>
      <c r="F110" s="60" t="s">
        <v>255</v>
      </c>
      <c r="G110" s="60" t="s">
        <v>49</v>
      </c>
      <c r="H110" s="60" t="str">
        <f>VLOOKUP($G110,Sheet3!$A$1:$C$6,2,)</f>
        <v>RAFAEL CRUCERO</v>
      </c>
      <c r="I110" s="60" t="str">
        <f>VLOOKUP($G110,Sheet3!$A$1:$C$6,3,)</f>
        <v>LSI HQ PD DIV. PD THD/SOP ASSY DEPT.</v>
      </c>
      <c r="J110" s="57">
        <v>45783</v>
      </c>
      <c r="K110" s="63">
        <f t="shared" ca="1" si="3"/>
        <v>136</v>
      </c>
      <c r="L110" s="64" t="str">
        <f t="shared" ca="1" si="4"/>
        <v>UPDATED</v>
      </c>
    </row>
    <row r="111" spans="1:12" x14ac:dyDescent="0.2">
      <c r="A111" s="60" t="s">
        <v>130</v>
      </c>
      <c r="B111" s="60" t="s">
        <v>465</v>
      </c>
      <c r="C111" s="60" t="s">
        <v>247</v>
      </c>
      <c r="D111" s="56" t="s">
        <v>52</v>
      </c>
      <c r="E111" s="60" t="s">
        <v>248</v>
      </c>
      <c r="F111" s="60" t="s">
        <v>260</v>
      </c>
      <c r="G111" s="60" t="s">
        <v>49</v>
      </c>
      <c r="H111" s="60" t="str">
        <f>VLOOKUP($G111,Sheet3!$A$1:$C$6,2,)</f>
        <v>RAFAEL CRUCERO</v>
      </c>
      <c r="I111" s="60" t="str">
        <f>VLOOKUP($G111,Sheet3!$A$1:$C$6,3,)</f>
        <v>LSI HQ PD DIV. PD THD/SOP ASSY DEPT.</v>
      </c>
      <c r="J111" s="57">
        <v>45605</v>
      </c>
      <c r="K111" s="63">
        <f t="shared" ca="1" si="3"/>
        <v>314</v>
      </c>
      <c r="L111" s="64" t="str">
        <f t="shared" ca="1" si="4"/>
        <v>UPDATED</v>
      </c>
    </row>
    <row r="112" spans="1:12" x14ac:dyDescent="0.2">
      <c r="A112" s="60" t="s">
        <v>131</v>
      </c>
      <c r="B112" s="60" t="s">
        <v>483</v>
      </c>
      <c r="C112" s="60" t="s">
        <v>247</v>
      </c>
      <c r="D112" s="56" t="s">
        <v>52</v>
      </c>
      <c r="E112" s="60" t="s">
        <v>248</v>
      </c>
      <c r="F112" s="60" t="s">
        <v>262</v>
      </c>
      <c r="G112" s="60" t="s">
        <v>49</v>
      </c>
      <c r="H112" s="60" t="str">
        <f>VLOOKUP($G112,Sheet3!$A$1:$C$6,2,)</f>
        <v>RAFAEL CRUCERO</v>
      </c>
      <c r="I112" s="60" t="str">
        <f>VLOOKUP($G112,Sheet3!$A$1:$C$6,3,)</f>
        <v>LSI HQ PD DIV. PD THD/SOP ASSY DEPT.</v>
      </c>
      <c r="J112" s="57">
        <v>45667</v>
      </c>
      <c r="K112" s="63">
        <f t="shared" ca="1" si="3"/>
        <v>252</v>
      </c>
      <c r="L112" s="64" t="str">
        <f t="shared" ca="1" si="4"/>
        <v>UPDATED</v>
      </c>
    </row>
    <row r="113" spans="1:12" x14ac:dyDescent="0.2">
      <c r="A113" s="60" t="s">
        <v>132</v>
      </c>
      <c r="B113" s="60" t="s">
        <v>383</v>
      </c>
      <c r="C113" s="60" t="s">
        <v>247</v>
      </c>
      <c r="D113" s="56" t="s">
        <v>52</v>
      </c>
      <c r="E113" s="60" t="s">
        <v>248</v>
      </c>
      <c r="F113" s="60" t="s">
        <v>260</v>
      </c>
      <c r="G113" s="60" t="s">
        <v>49</v>
      </c>
      <c r="H113" s="60" t="str">
        <f>VLOOKUP($G113,Sheet3!$A$1:$C$6,2,)</f>
        <v>RAFAEL CRUCERO</v>
      </c>
      <c r="I113" s="60" t="str">
        <f>VLOOKUP($G113,Sheet3!$A$1:$C$6,3,)</f>
        <v>LSI HQ PD DIV. PD THD/SOP ASSY DEPT.</v>
      </c>
      <c r="J113" s="57">
        <v>45678</v>
      </c>
      <c r="K113" s="63">
        <f t="shared" ca="1" si="3"/>
        <v>241</v>
      </c>
      <c r="L113" s="64" t="str">
        <f t="shared" ca="1" si="4"/>
        <v>UPDATED</v>
      </c>
    </row>
    <row r="114" spans="1:12" x14ac:dyDescent="0.2">
      <c r="A114" s="60" t="s">
        <v>222</v>
      </c>
      <c r="B114" s="60" t="s">
        <v>314</v>
      </c>
      <c r="C114" s="60" t="s">
        <v>247</v>
      </c>
      <c r="D114" s="56" t="s">
        <v>55</v>
      </c>
      <c r="E114" s="60" t="s">
        <v>248</v>
      </c>
      <c r="F114" s="60" t="s">
        <v>262</v>
      </c>
      <c r="G114" s="60" t="s">
        <v>49</v>
      </c>
      <c r="H114" s="60" t="str">
        <f>VLOOKUP($G114,Sheet3!$A$1:$C$6,2,)</f>
        <v>RAFAEL CRUCERO</v>
      </c>
      <c r="I114" s="60" t="str">
        <f>VLOOKUP($G114,Sheet3!$A$1:$C$6,3,)</f>
        <v>LSI HQ PD DIV. PD THD/SOP ASSY DEPT.</v>
      </c>
      <c r="J114" s="57">
        <v>45383</v>
      </c>
      <c r="K114" s="63">
        <f t="shared" ca="1" si="3"/>
        <v>536</v>
      </c>
      <c r="L114" s="64" t="str">
        <f t="shared" ca="1" si="4"/>
        <v>EXPIRED</v>
      </c>
    </row>
    <row r="115" spans="1:12" x14ac:dyDescent="0.2">
      <c r="A115" s="60" t="s">
        <v>134</v>
      </c>
      <c r="B115" s="60" t="s">
        <v>413</v>
      </c>
      <c r="C115" s="60" t="s">
        <v>247</v>
      </c>
      <c r="D115" s="56" t="s">
        <v>52</v>
      </c>
      <c r="E115" s="60" t="s">
        <v>248</v>
      </c>
      <c r="F115" s="60" t="s">
        <v>262</v>
      </c>
      <c r="G115" s="60" t="s">
        <v>49</v>
      </c>
      <c r="H115" s="60" t="str">
        <f>VLOOKUP($G115,Sheet3!$A$1:$C$6,2,)</f>
        <v>RAFAEL CRUCERO</v>
      </c>
      <c r="I115" s="60" t="str">
        <f>VLOOKUP($G115,Sheet3!$A$1:$C$6,3,)</f>
        <v>LSI HQ PD DIV. PD THD/SOP ASSY DEPT.</v>
      </c>
      <c r="J115" s="57">
        <v>45685</v>
      </c>
      <c r="K115" s="63">
        <f t="shared" ca="1" si="3"/>
        <v>234</v>
      </c>
      <c r="L115" s="64" t="str">
        <f t="shared" ca="1" si="4"/>
        <v>UPDATED</v>
      </c>
    </row>
    <row r="116" spans="1:12" x14ac:dyDescent="0.2">
      <c r="A116" s="60" t="s">
        <v>135</v>
      </c>
      <c r="B116" s="60" t="s">
        <v>425</v>
      </c>
      <c r="C116" s="60" t="s">
        <v>247</v>
      </c>
      <c r="D116" s="56" t="s">
        <v>52</v>
      </c>
      <c r="E116" s="60" t="s">
        <v>248</v>
      </c>
      <c r="F116" s="60" t="s">
        <v>255</v>
      </c>
      <c r="G116" s="60" t="s">
        <v>49</v>
      </c>
      <c r="H116" s="60" t="str">
        <f>VLOOKUP($G116,Sheet3!$A$1:$C$6,2,)</f>
        <v>RAFAEL CRUCERO</v>
      </c>
      <c r="I116" s="60" t="str">
        <f>VLOOKUP($G116,Sheet3!$A$1:$C$6,3,)</f>
        <v>LSI HQ PD DIV. PD THD/SOP ASSY DEPT.</v>
      </c>
      <c r="J116" s="57">
        <v>45524</v>
      </c>
      <c r="K116" s="63">
        <f t="shared" ca="1" si="3"/>
        <v>395</v>
      </c>
      <c r="L116" s="64" t="str">
        <f t="shared" ca="1" si="4"/>
        <v>EXPIRED</v>
      </c>
    </row>
    <row r="117" spans="1:12" x14ac:dyDescent="0.2">
      <c r="A117" s="60" t="s">
        <v>316</v>
      </c>
      <c r="B117" s="60" t="s">
        <v>317</v>
      </c>
      <c r="C117" s="60" t="s">
        <v>247</v>
      </c>
      <c r="D117" s="56" t="s">
        <v>55</v>
      </c>
      <c r="E117" s="60" t="s">
        <v>248</v>
      </c>
      <c r="F117" s="60" t="s">
        <v>260</v>
      </c>
      <c r="G117" s="60" t="s">
        <v>49</v>
      </c>
      <c r="H117" s="60" t="str">
        <f>VLOOKUP($G117,Sheet3!$A$1:$C$6,2,)</f>
        <v>RAFAEL CRUCERO</v>
      </c>
      <c r="I117" s="60" t="str">
        <f>VLOOKUP($G117,Sheet3!$A$1:$C$6,3,)</f>
        <v>LSI HQ PD DIV. PD THD/SOP ASSY DEPT.</v>
      </c>
      <c r="J117" s="57">
        <v>45383</v>
      </c>
      <c r="K117" s="63">
        <f t="shared" ca="1" si="3"/>
        <v>536</v>
      </c>
      <c r="L117" s="64" t="str">
        <f t="shared" ca="1" si="4"/>
        <v>EXPIRED</v>
      </c>
    </row>
    <row r="118" spans="1:12" x14ac:dyDescent="0.2">
      <c r="A118" s="60" t="s">
        <v>137</v>
      </c>
      <c r="B118" s="60" t="s">
        <v>386</v>
      </c>
      <c r="C118" s="60" t="s">
        <v>247</v>
      </c>
      <c r="D118" s="56" t="s">
        <v>52</v>
      </c>
      <c r="E118" s="60" t="s">
        <v>248</v>
      </c>
      <c r="F118" s="60" t="s">
        <v>260</v>
      </c>
      <c r="G118" s="60" t="s">
        <v>49</v>
      </c>
      <c r="H118" s="60" t="str">
        <f>VLOOKUP($G118,Sheet3!$A$1:$C$6,2,)</f>
        <v>RAFAEL CRUCERO</v>
      </c>
      <c r="I118" s="60" t="str">
        <f>VLOOKUP($G118,Sheet3!$A$1:$C$6,3,)</f>
        <v>LSI HQ PD DIV. PD THD/SOP ASSY DEPT.</v>
      </c>
      <c r="J118" s="57">
        <v>45684</v>
      </c>
      <c r="K118" s="63">
        <f t="shared" ca="1" si="3"/>
        <v>235</v>
      </c>
      <c r="L118" s="64" t="str">
        <f t="shared" ca="1" si="4"/>
        <v>UPDATED</v>
      </c>
    </row>
    <row r="119" spans="1:12" x14ac:dyDescent="0.2">
      <c r="A119" s="60" t="s">
        <v>138</v>
      </c>
      <c r="B119" s="60" t="s">
        <v>403</v>
      </c>
      <c r="C119" s="60" t="s">
        <v>247</v>
      </c>
      <c r="D119" s="56" t="s">
        <v>52</v>
      </c>
      <c r="E119" s="60" t="s">
        <v>248</v>
      </c>
      <c r="F119" s="60" t="s">
        <v>271</v>
      </c>
      <c r="G119" s="60" t="s">
        <v>49</v>
      </c>
      <c r="H119" s="60" t="str">
        <f>VLOOKUP($G119,Sheet3!$A$1:$C$6,2,)</f>
        <v>RAFAEL CRUCERO</v>
      </c>
      <c r="I119" s="60" t="str">
        <f>VLOOKUP($G119,Sheet3!$A$1:$C$6,3,)</f>
        <v>LSI HQ PD DIV. PD THD/SOP ASSY DEPT.</v>
      </c>
      <c r="J119" s="57">
        <v>45557</v>
      </c>
      <c r="K119" s="63">
        <f t="shared" ca="1" si="3"/>
        <v>362</v>
      </c>
      <c r="L119" s="64" t="str">
        <f t="shared" ca="1" si="4"/>
        <v>UPDATED</v>
      </c>
    </row>
    <row r="120" spans="1:12" x14ac:dyDescent="0.2">
      <c r="A120" s="60" t="s">
        <v>139</v>
      </c>
      <c r="B120" s="60" t="s">
        <v>408</v>
      </c>
      <c r="C120" s="60" t="s">
        <v>247</v>
      </c>
      <c r="D120" s="56" t="s">
        <v>52</v>
      </c>
      <c r="E120" s="60" t="s">
        <v>248</v>
      </c>
      <c r="F120" s="60" t="s">
        <v>260</v>
      </c>
      <c r="G120" s="60" t="s">
        <v>49</v>
      </c>
      <c r="H120" s="60" t="str">
        <f>VLOOKUP($G120,Sheet3!$A$1:$C$6,2,)</f>
        <v>RAFAEL CRUCERO</v>
      </c>
      <c r="I120" s="60" t="str">
        <f>VLOOKUP($G120,Sheet3!$A$1:$C$6,3,)</f>
        <v>LSI HQ PD DIV. PD THD/SOP ASSY DEPT.</v>
      </c>
      <c r="J120" s="57">
        <v>45624</v>
      </c>
      <c r="K120" s="63">
        <f t="shared" ca="1" si="3"/>
        <v>295</v>
      </c>
      <c r="L120" s="64" t="str">
        <f t="shared" ca="1" si="4"/>
        <v>UPDATED</v>
      </c>
    </row>
    <row r="121" spans="1:12" x14ac:dyDescent="0.2">
      <c r="A121" s="60" t="s">
        <v>140</v>
      </c>
      <c r="B121" s="60" t="s">
        <v>382</v>
      </c>
      <c r="C121" s="60" t="s">
        <v>247</v>
      </c>
      <c r="D121" s="56" t="s">
        <v>52</v>
      </c>
      <c r="E121" s="60" t="s">
        <v>248</v>
      </c>
      <c r="F121" s="60" t="s">
        <v>271</v>
      </c>
      <c r="G121" s="60" t="s">
        <v>49</v>
      </c>
      <c r="H121" s="60" t="str">
        <f>VLOOKUP($G121,Sheet3!$A$1:$C$6,2,)</f>
        <v>RAFAEL CRUCERO</v>
      </c>
      <c r="I121" s="60" t="str">
        <f>VLOOKUP($G121,Sheet3!$A$1:$C$6,3,)</f>
        <v>LSI HQ PD DIV. PD THD/SOP ASSY DEPT.</v>
      </c>
      <c r="J121" s="57">
        <v>45674</v>
      </c>
      <c r="K121" s="63">
        <f t="shared" ca="1" si="3"/>
        <v>245</v>
      </c>
      <c r="L121" s="64" t="str">
        <f t="shared" ref="L121:L152" ca="1" si="5">IF(K121&gt;=365,"EXPIRED","UPDATED")</f>
        <v>UPDATED</v>
      </c>
    </row>
    <row r="122" spans="1:12" x14ac:dyDescent="0.2">
      <c r="A122" s="60" t="s">
        <v>141</v>
      </c>
      <c r="B122" s="60" t="s">
        <v>380</v>
      </c>
      <c r="C122" s="60" t="s">
        <v>247</v>
      </c>
      <c r="D122" s="56" t="s">
        <v>52</v>
      </c>
      <c r="E122" s="60" t="s">
        <v>248</v>
      </c>
      <c r="F122" s="60" t="s">
        <v>260</v>
      </c>
      <c r="G122" s="60" t="s">
        <v>49</v>
      </c>
      <c r="H122" s="60" t="str">
        <f>VLOOKUP($G122,Sheet3!$A$1:$C$6,2,)</f>
        <v>RAFAEL CRUCERO</v>
      </c>
      <c r="I122" s="60" t="str">
        <f>VLOOKUP($G122,Sheet3!$A$1:$C$6,3,)</f>
        <v>LSI HQ PD DIV. PD THD/SOP ASSY DEPT.</v>
      </c>
      <c r="J122" s="57">
        <v>45667</v>
      </c>
      <c r="K122" s="63">
        <f t="shared" ca="1" si="3"/>
        <v>252</v>
      </c>
      <c r="L122" s="64" t="str">
        <f t="shared" ca="1" si="5"/>
        <v>UPDATED</v>
      </c>
    </row>
    <row r="123" spans="1:12" x14ac:dyDescent="0.2">
      <c r="A123" s="60" t="s">
        <v>131</v>
      </c>
      <c r="B123" s="60" t="s">
        <v>483</v>
      </c>
      <c r="C123" s="60" t="s">
        <v>247</v>
      </c>
      <c r="D123" s="56" t="s">
        <v>52</v>
      </c>
      <c r="E123" s="60" t="s">
        <v>248</v>
      </c>
      <c r="F123" s="60" t="s">
        <v>262</v>
      </c>
      <c r="G123" s="60" t="s">
        <v>49</v>
      </c>
      <c r="H123" s="60" t="str">
        <f>VLOOKUP($G123,Sheet3!$A$1:$C$6,2,)</f>
        <v>RAFAEL CRUCERO</v>
      </c>
      <c r="I123" s="60" t="str">
        <f>VLOOKUP($G123,Sheet3!$A$1:$C$6,3,)</f>
        <v>LSI HQ PD DIV. PD THD/SOP ASSY DEPT.</v>
      </c>
      <c r="J123" s="57">
        <v>45667</v>
      </c>
      <c r="K123" s="63">
        <f t="shared" ca="1" si="3"/>
        <v>252</v>
      </c>
      <c r="L123" s="64" t="str">
        <f t="shared" ca="1" si="5"/>
        <v>UPDATED</v>
      </c>
    </row>
    <row r="124" spans="1:12" x14ac:dyDescent="0.2">
      <c r="A124" s="60" t="s">
        <v>142</v>
      </c>
      <c r="B124" s="60" t="s">
        <v>412</v>
      </c>
      <c r="C124" s="60" t="s">
        <v>247</v>
      </c>
      <c r="D124" s="56" t="s">
        <v>52</v>
      </c>
      <c r="E124" s="60" t="s">
        <v>248</v>
      </c>
      <c r="F124" s="60" t="s">
        <v>271</v>
      </c>
      <c r="G124" s="60" t="s">
        <v>49</v>
      </c>
      <c r="H124" s="60" t="str">
        <f>VLOOKUP($G124,Sheet3!$A$1:$C$6,2,)</f>
        <v>RAFAEL CRUCERO</v>
      </c>
      <c r="I124" s="60" t="str">
        <f>VLOOKUP($G124,Sheet3!$A$1:$C$6,3,)</f>
        <v>LSI HQ PD DIV. PD THD/SOP ASSY DEPT.</v>
      </c>
      <c r="J124" s="57">
        <v>45530</v>
      </c>
      <c r="K124" s="63">
        <f t="shared" ca="1" si="3"/>
        <v>389</v>
      </c>
      <c r="L124" s="64" t="str">
        <f t="shared" ca="1" si="5"/>
        <v>EXPIRED</v>
      </c>
    </row>
    <row r="125" spans="1:12" x14ac:dyDescent="0.2">
      <c r="A125" s="60" t="s">
        <v>228</v>
      </c>
      <c r="B125" s="60" t="s">
        <v>315</v>
      </c>
      <c r="C125" s="60" t="s">
        <v>247</v>
      </c>
      <c r="D125" s="56" t="s">
        <v>55</v>
      </c>
      <c r="E125" s="60" t="s">
        <v>248</v>
      </c>
      <c r="F125" s="60" t="s">
        <v>260</v>
      </c>
      <c r="G125" s="60" t="s">
        <v>49</v>
      </c>
      <c r="H125" s="60" t="str">
        <f>VLOOKUP($G125,Sheet3!$A$1:$C$6,2,)</f>
        <v>RAFAEL CRUCERO</v>
      </c>
      <c r="I125" s="60" t="str">
        <f>VLOOKUP($G125,Sheet3!$A$1:$C$6,3,)</f>
        <v>LSI HQ PD DIV. PD THD/SOP ASSY DEPT.</v>
      </c>
      <c r="J125" s="57">
        <v>45380</v>
      </c>
      <c r="K125" s="63">
        <f t="shared" ca="1" si="3"/>
        <v>539</v>
      </c>
      <c r="L125" s="64" t="str">
        <f t="shared" ca="1" si="5"/>
        <v>EXPIRED</v>
      </c>
    </row>
    <row r="126" spans="1:12" x14ac:dyDescent="0.2">
      <c r="A126" s="60" t="s">
        <v>144</v>
      </c>
      <c r="B126" s="60" t="s">
        <v>411</v>
      </c>
      <c r="C126" s="60" t="s">
        <v>247</v>
      </c>
      <c r="D126" s="56" t="s">
        <v>52</v>
      </c>
      <c r="E126" s="60" t="s">
        <v>248</v>
      </c>
      <c r="F126" s="60" t="s">
        <v>271</v>
      </c>
      <c r="G126" s="60" t="s">
        <v>49</v>
      </c>
      <c r="H126" s="60" t="str">
        <f>VLOOKUP($G126,Sheet3!$A$1:$C$6,2,)</f>
        <v>RAFAEL CRUCERO</v>
      </c>
      <c r="I126" s="60" t="str">
        <f>VLOOKUP($G126,Sheet3!$A$1:$C$6,3,)</f>
        <v>LSI HQ PD DIV. PD THD/SOP ASSY DEPT.</v>
      </c>
      <c r="J126" s="57">
        <v>45508</v>
      </c>
      <c r="K126" s="63">
        <f t="shared" ca="1" si="3"/>
        <v>411</v>
      </c>
      <c r="L126" s="64" t="str">
        <f t="shared" ca="1" si="5"/>
        <v>EXPIRED</v>
      </c>
    </row>
    <row r="127" spans="1:12" x14ac:dyDescent="0.2">
      <c r="A127" s="60" t="s">
        <v>145</v>
      </c>
      <c r="B127" s="60" t="s">
        <v>388</v>
      </c>
      <c r="C127" s="60" t="s">
        <v>247</v>
      </c>
      <c r="D127" s="56" t="s">
        <v>52</v>
      </c>
      <c r="E127" s="60" t="s">
        <v>248</v>
      </c>
      <c r="F127" s="60" t="s">
        <v>262</v>
      </c>
      <c r="G127" s="60" t="s">
        <v>49</v>
      </c>
      <c r="H127" s="60" t="str">
        <f>VLOOKUP($G127,Sheet3!$A$1:$C$6,2,)</f>
        <v>RAFAEL CRUCERO</v>
      </c>
      <c r="I127" s="60" t="str">
        <f>VLOOKUP($G127,Sheet3!$A$1:$C$6,3,)</f>
        <v>LSI HQ PD DIV. PD THD/SOP ASSY DEPT.</v>
      </c>
      <c r="J127" s="57">
        <v>45690</v>
      </c>
      <c r="K127" s="63">
        <f t="shared" ca="1" si="3"/>
        <v>229</v>
      </c>
      <c r="L127" s="64" t="str">
        <f t="shared" ca="1" si="5"/>
        <v>UPDATED</v>
      </c>
    </row>
    <row r="128" spans="1:12" x14ac:dyDescent="0.2">
      <c r="A128" s="60" t="s">
        <v>223</v>
      </c>
      <c r="B128" s="60" t="s">
        <v>306</v>
      </c>
      <c r="C128" s="60" t="s">
        <v>247</v>
      </c>
      <c r="D128" s="56" t="s">
        <v>55</v>
      </c>
      <c r="E128" s="60" t="s">
        <v>248</v>
      </c>
      <c r="F128" s="60" t="s">
        <v>271</v>
      </c>
      <c r="G128" s="60" t="s">
        <v>49</v>
      </c>
      <c r="H128" s="60" t="str">
        <f>VLOOKUP($G128,Sheet3!$A$1:$C$6,2,)</f>
        <v>RAFAEL CRUCERO</v>
      </c>
      <c r="I128" s="60" t="str">
        <f>VLOOKUP($G128,Sheet3!$A$1:$C$6,3,)</f>
        <v>LSI HQ PD DIV. PD THD/SOP ASSY DEPT.</v>
      </c>
      <c r="J128" s="57">
        <v>45366</v>
      </c>
      <c r="K128" s="63">
        <f t="shared" ca="1" si="3"/>
        <v>553</v>
      </c>
      <c r="L128" s="64" t="str">
        <f t="shared" ca="1" si="5"/>
        <v>EXPIRED</v>
      </c>
    </row>
    <row r="129" spans="1:12" x14ac:dyDescent="0.2">
      <c r="A129" s="60" t="s">
        <v>148</v>
      </c>
      <c r="B129" s="60" t="s">
        <v>480</v>
      </c>
      <c r="C129" s="60" t="s">
        <v>247</v>
      </c>
      <c r="D129" s="56" t="s">
        <v>53</v>
      </c>
      <c r="E129" s="60" t="s">
        <v>248</v>
      </c>
      <c r="F129" s="60" t="s">
        <v>255</v>
      </c>
      <c r="G129" s="60" t="s">
        <v>49</v>
      </c>
      <c r="H129" s="60" t="str">
        <f>VLOOKUP($G129,Sheet3!$A$1:$C$6,2,)</f>
        <v>RAFAEL CRUCERO</v>
      </c>
      <c r="I129" s="60" t="str">
        <f>VLOOKUP($G129,Sheet3!$A$1:$C$6,3,)</f>
        <v>LSI HQ PD DIV. PD THD/SOP ASSY DEPT.</v>
      </c>
      <c r="J129" s="57">
        <v>45521</v>
      </c>
      <c r="K129" s="63">
        <f t="shared" ca="1" si="3"/>
        <v>398</v>
      </c>
      <c r="L129" s="64" t="str">
        <f t="shared" ca="1" si="5"/>
        <v>EXPIRED</v>
      </c>
    </row>
    <row r="130" spans="1:12" x14ac:dyDescent="0.2">
      <c r="A130" s="60" t="s">
        <v>149</v>
      </c>
      <c r="B130" s="60" t="s">
        <v>427</v>
      </c>
      <c r="C130" s="60" t="s">
        <v>247</v>
      </c>
      <c r="D130" s="56" t="s">
        <v>53</v>
      </c>
      <c r="E130" s="60" t="s">
        <v>248</v>
      </c>
      <c r="F130" s="60" t="s">
        <v>271</v>
      </c>
      <c r="G130" s="60" t="s">
        <v>49</v>
      </c>
      <c r="H130" s="60" t="str">
        <f>VLOOKUP($G130,Sheet3!$A$1:$C$6,2,)</f>
        <v>RAFAEL CRUCERO</v>
      </c>
      <c r="I130" s="60" t="str">
        <f>VLOOKUP($G130,Sheet3!$A$1:$C$6,3,)</f>
        <v>LSI HQ PD DIV. PD THD/SOP ASSY DEPT.</v>
      </c>
      <c r="J130" s="57">
        <v>45524</v>
      </c>
      <c r="K130" s="63">
        <f t="shared" ref="K130:K193" ca="1" si="6">ABS(J130-TODAY())</f>
        <v>395</v>
      </c>
      <c r="L130" s="64" t="str">
        <f t="shared" ca="1" si="5"/>
        <v>EXPIRED</v>
      </c>
    </row>
    <row r="131" spans="1:12" x14ac:dyDescent="0.2">
      <c r="A131" s="60" t="s">
        <v>150</v>
      </c>
      <c r="B131" s="60" t="s">
        <v>426</v>
      </c>
      <c r="C131" s="60" t="s">
        <v>247</v>
      </c>
      <c r="D131" s="56" t="s">
        <v>53</v>
      </c>
      <c r="E131" s="60" t="s">
        <v>248</v>
      </c>
      <c r="F131" s="60" t="s">
        <v>255</v>
      </c>
      <c r="G131" s="60" t="s">
        <v>49</v>
      </c>
      <c r="H131" s="60" t="str">
        <f>VLOOKUP($G131,Sheet3!$A$1:$C$6,2,)</f>
        <v>RAFAEL CRUCERO</v>
      </c>
      <c r="I131" s="60" t="str">
        <f>VLOOKUP($G131,Sheet3!$A$1:$C$6,3,)</f>
        <v>LSI HQ PD DIV. PD THD/SOP ASSY DEPT.</v>
      </c>
      <c r="J131" s="57">
        <v>45682</v>
      </c>
      <c r="K131" s="63">
        <f t="shared" ca="1" si="6"/>
        <v>237</v>
      </c>
      <c r="L131" s="64" t="str">
        <f t="shared" ca="1" si="5"/>
        <v>UPDATED</v>
      </c>
    </row>
    <row r="132" spans="1:12" x14ac:dyDescent="0.2">
      <c r="A132" s="60" t="s">
        <v>151</v>
      </c>
      <c r="B132" s="60" t="s">
        <v>428</v>
      </c>
      <c r="C132" s="60" t="s">
        <v>247</v>
      </c>
      <c r="D132" s="56" t="s">
        <v>53</v>
      </c>
      <c r="E132" s="60" t="s">
        <v>248</v>
      </c>
      <c r="F132" s="60" t="s">
        <v>260</v>
      </c>
      <c r="G132" s="60" t="s">
        <v>49</v>
      </c>
      <c r="H132" s="60" t="str">
        <f>VLOOKUP($G132,Sheet3!$A$1:$C$6,2,)</f>
        <v>RAFAEL CRUCERO</v>
      </c>
      <c r="I132" s="60" t="str">
        <f>VLOOKUP($G132,Sheet3!$A$1:$C$6,3,)</f>
        <v>LSI HQ PD DIV. PD THD/SOP ASSY DEPT.</v>
      </c>
      <c r="J132" s="57">
        <v>45527</v>
      </c>
      <c r="K132" s="63">
        <f t="shared" ca="1" si="6"/>
        <v>392</v>
      </c>
      <c r="L132" s="64" t="str">
        <f t="shared" ca="1" si="5"/>
        <v>EXPIRED</v>
      </c>
    </row>
    <row r="133" spans="1:12" x14ac:dyDescent="0.2">
      <c r="A133" s="60" t="s">
        <v>152</v>
      </c>
      <c r="B133" s="60" t="e">
        <v>#N/A</v>
      </c>
      <c r="C133" s="60" t="e">
        <v>#N/A</v>
      </c>
      <c r="D133" s="56" t="e">
        <v>#N/A</v>
      </c>
      <c r="E133" s="60" t="e">
        <v>#N/A</v>
      </c>
      <c r="F133" s="60" t="e">
        <v>#N/A</v>
      </c>
      <c r="G133" s="60" t="s">
        <v>49</v>
      </c>
      <c r="H133" s="60" t="str">
        <f>VLOOKUP($G133,Sheet3!$A$1:$C$6,2,)</f>
        <v>RAFAEL CRUCERO</v>
      </c>
      <c r="I133" s="60" t="str">
        <f>VLOOKUP($G133,Sheet3!$A$1:$C$6,3,)</f>
        <v>LSI HQ PD DIV. PD THD/SOP ASSY DEPT.</v>
      </c>
      <c r="J133" s="57" t="e">
        <v>#N/A</v>
      </c>
      <c r="K133" s="63" t="e">
        <f t="shared" ca="1" si="6"/>
        <v>#N/A</v>
      </c>
      <c r="L133" s="64" t="e">
        <f t="shared" ca="1" si="5"/>
        <v>#N/A</v>
      </c>
    </row>
    <row r="134" spans="1:12" x14ac:dyDescent="0.2">
      <c r="A134" s="60" t="s">
        <v>312</v>
      </c>
      <c r="B134" s="60" t="s">
        <v>313</v>
      </c>
      <c r="C134" s="60" t="s">
        <v>247</v>
      </c>
      <c r="D134" s="56" t="s">
        <v>55</v>
      </c>
      <c r="E134" s="60" t="s">
        <v>248</v>
      </c>
      <c r="F134" s="60" t="s">
        <v>255</v>
      </c>
      <c r="G134" s="60" t="s">
        <v>49</v>
      </c>
      <c r="H134" s="60" t="str">
        <f>VLOOKUP($G134,Sheet3!$A$1:$C$6,2,)</f>
        <v>RAFAEL CRUCERO</v>
      </c>
      <c r="I134" s="60" t="str">
        <f>VLOOKUP($G134,Sheet3!$A$1:$C$6,3,)</f>
        <v>LSI HQ PD DIV. PD THD/SOP ASSY DEPT.</v>
      </c>
      <c r="J134" s="57">
        <v>45366</v>
      </c>
      <c r="K134" s="63">
        <f t="shared" ca="1" si="6"/>
        <v>553</v>
      </c>
      <c r="L134" s="64" t="str">
        <f t="shared" ca="1" si="5"/>
        <v>EXPIRED</v>
      </c>
    </row>
    <row r="135" spans="1:12" x14ac:dyDescent="0.2">
      <c r="A135" s="60" t="s">
        <v>154</v>
      </c>
      <c r="B135" s="60" t="s">
        <v>409</v>
      </c>
      <c r="C135" s="60" t="s">
        <v>247</v>
      </c>
      <c r="D135" s="56" t="s">
        <v>53</v>
      </c>
      <c r="E135" s="60" t="s">
        <v>248</v>
      </c>
      <c r="F135" s="60" t="s">
        <v>260</v>
      </c>
      <c r="G135" s="60" t="s">
        <v>49</v>
      </c>
      <c r="H135" s="60" t="str">
        <f>VLOOKUP($G135,Sheet3!$A$1:$C$6,2,)</f>
        <v>RAFAEL CRUCERO</v>
      </c>
      <c r="I135" s="60" t="str">
        <f>VLOOKUP($G135,Sheet3!$A$1:$C$6,3,)</f>
        <v>LSI HQ PD DIV. PD THD/SOP ASSY DEPT.</v>
      </c>
      <c r="J135" s="57">
        <v>45541</v>
      </c>
      <c r="K135" s="63">
        <f t="shared" ca="1" si="6"/>
        <v>378</v>
      </c>
      <c r="L135" s="64" t="str">
        <f t="shared" ca="1" si="5"/>
        <v>EXPIRED</v>
      </c>
    </row>
    <row r="136" spans="1:12" x14ac:dyDescent="0.2">
      <c r="A136" s="60" t="s">
        <v>155</v>
      </c>
      <c r="B136" s="60" t="s">
        <v>429</v>
      </c>
      <c r="C136" s="60" t="s">
        <v>247</v>
      </c>
      <c r="D136" s="56" t="s">
        <v>53</v>
      </c>
      <c r="E136" s="60" t="s">
        <v>248</v>
      </c>
      <c r="F136" s="60" t="s">
        <v>255</v>
      </c>
      <c r="G136" s="60" t="s">
        <v>49</v>
      </c>
      <c r="H136" s="60" t="str">
        <f>VLOOKUP($G136,Sheet3!$A$1:$C$6,2,)</f>
        <v>RAFAEL CRUCERO</v>
      </c>
      <c r="I136" s="60" t="str">
        <f>VLOOKUP($G136,Sheet3!$A$1:$C$6,3,)</f>
        <v>LSI HQ PD DIV. PD THD/SOP ASSY DEPT.</v>
      </c>
      <c r="J136" s="57">
        <v>45527</v>
      </c>
      <c r="K136" s="63">
        <f t="shared" ca="1" si="6"/>
        <v>392</v>
      </c>
      <c r="L136" s="64" t="str">
        <f t="shared" ca="1" si="5"/>
        <v>EXPIRED</v>
      </c>
    </row>
    <row r="137" spans="1:12" x14ac:dyDescent="0.2">
      <c r="A137" s="60" t="s">
        <v>156</v>
      </c>
      <c r="B137" s="60" t="e">
        <v>#N/A</v>
      </c>
      <c r="C137" s="60" t="e">
        <v>#N/A</v>
      </c>
      <c r="D137" s="56" t="e">
        <v>#N/A</v>
      </c>
      <c r="E137" s="60" t="e">
        <v>#N/A</v>
      </c>
      <c r="F137" s="60" t="e">
        <v>#N/A</v>
      </c>
      <c r="G137" s="60" t="s">
        <v>49</v>
      </c>
      <c r="H137" s="60" t="str">
        <f>VLOOKUP($G137,Sheet3!$A$1:$C$6,2,)</f>
        <v>RAFAEL CRUCERO</v>
      </c>
      <c r="I137" s="60" t="str">
        <f>VLOOKUP($G137,Sheet3!$A$1:$C$6,3,)</f>
        <v>LSI HQ PD DIV. PD THD/SOP ASSY DEPT.</v>
      </c>
      <c r="J137" s="57" t="e">
        <v>#N/A</v>
      </c>
      <c r="K137" s="63" t="e">
        <f t="shared" ca="1" si="6"/>
        <v>#N/A</v>
      </c>
      <c r="L137" s="64" t="e">
        <f t="shared" ca="1" si="5"/>
        <v>#N/A</v>
      </c>
    </row>
    <row r="138" spans="1:12" x14ac:dyDescent="0.2">
      <c r="A138" s="60" t="s">
        <v>157</v>
      </c>
      <c r="B138" s="60" t="s">
        <v>503</v>
      </c>
      <c r="C138" s="60" t="s">
        <v>247</v>
      </c>
      <c r="D138" s="56" t="s">
        <v>53</v>
      </c>
      <c r="E138" s="60" t="s">
        <v>248</v>
      </c>
      <c r="F138" s="60" t="s">
        <v>271</v>
      </c>
      <c r="G138" s="60" t="s">
        <v>49</v>
      </c>
      <c r="H138" s="60" t="str">
        <f>VLOOKUP($G138,Sheet3!$A$1:$C$6,2,)</f>
        <v>RAFAEL CRUCERO</v>
      </c>
      <c r="I138" s="60" t="str">
        <f>VLOOKUP($G138,Sheet3!$A$1:$C$6,3,)</f>
        <v>LSI HQ PD DIV. PD THD/SOP ASSY DEPT.</v>
      </c>
      <c r="J138" s="57">
        <v>45531</v>
      </c>
      <c r="K138" s="63">
        <f t="shared" ca="1" si="6"/>
        <v>388</v>
      </c>
      <c r="L138" s="64" t="str">
        <f t="shared" ca="1" si="5"/>
        <v>EXPIRED</v>
      </c>
    </row>
    <row r="139" spans="1:12" x14ac:dyDescent="0.2">
      <c r="A139" s="60" t="s">
        <v>158</v>
      </c>
      <c r="B139" s="60" t="s">
        <v>461</v>
      </c>
      <c r="C139" s="60" t="s">
        <v>247</v>
      </c>
      <c r="D139" s="56" t="s">
        <v>53</v>
      </c>
      <c r="E139" s="60" t="s">
        <v>248</v>
      </c>
      <c r="F139" s="60" t="s">
        <v>260</v>
      </c>
      <c r="G139" s="60" t="s">
        <v>49</v>
      </c>
      <c r="H139" s="60" t="str">
        <f>VLOOKUP($G139,Sheet3!$A$1:$C$6,2,)</f>
        <v>RAFAEL CRUCERO</v>
      </c>
      <c r="I139" s="60" t="str">
        <f>VLOOKUP($G139,Sheet3!$A$1:$C$6,3,)</f>
        <v>LSI HQ PD DIV. PD THD/SOP ASSY DEPT.</v>
      </c>
      <c r="J139" s="57">
        <v>45690</v>
      </c>
      <c r="K139" s="63">
        <f t="shared" ca="1" si="6"/>
        <v>229</v>
      </c>
      <c r="L139" s="64" t="str">
        <f t="shared" ca="1" si="5"/>
        <v>UPDATED</v>
      </c>
    </row>
    <row r="140" spans="1:12" x14ac:dyDescent="0.2">
      <c r="A140" s="60" t="s">
        <v>229</v>
      </c>
      <c r="B140" s="60" t="s">
        <v>311</v>
      </c>
      <c r="C140" s="60" t="s">
        <v>247</v>
      </c>
      <c r="D140" s="56" t="s">
        <v>55</v>
      </c>
      <c r="E140" s="60" t="s">
        <v>248</v>
      </c>
      <c r="F140" s="60" t="s">
        <v>255</v>
      </c>
      <c r="G140" s="60" t="s">
        <v>49</v>
      </c>
      <c r="H140" s="60" t="str">
        <f>VLOOKUP($G140,Sheet3!$A$1:$C$6,2,)</f>
        <v>RAFAEL CRUCERO</v>
      </c>
      <c r="I140" s="60" t="str">
        <f>VLOOKUP($G140,Sheet3!$A$1:$C$6,3,)</f>
        <v>LSI HQ PD DIV. PD THD/SOP ASSY DEPT.</v>
      </c>
      <c r="J140" s="57">
        <v>45365</v>
      </c>
      <c r="K140" s="63">
        <f t="shared" ca="1" si="6"/>
        <v>554</v>
      </c>
      <c r="L140" s="64" t="str">
        <f t="shared" ca="1" si="5"/>
        <v>EXPIRED</v>
      </c>
    </row>
    <row r="141" spans="1:12" x14ac:dyDescent="0.2">
      <c r="A141" s="60" t="s">
        <v>160</v>
      </c>
      <c r="B141" s="60" t="s">
        <v>500</v>
      </c>
      <c r="C141" s="60" t="s">
        <v>247</v>
      </c>
      <c r="D141" s="56" t="s">
        <v>53</v>
      </c>
      <c r="E141" s="60" t="s">
        <v>248</v>
      </c>
      <c r="F141" s="60" t="s">
        <v>255</v>
      </c>
      <c r="G141" s="60" t="s">
        <v>49</v>
      </c>
      <c r="H141" s="60" t="str">
        <f>VLOOKUP($G141,Sheet3!$A$1:$C$6,2,)</f>
        <v>RAFAEL CRUCERO</v>
      </c>
      <c r="I141" s="60" t="str">
        <f>VLOOKUP($G141,Sheet3!$A$1:$C$6,3,)</f>
        <v>LSI HQ PD DIV. PD THD/SOP ASSY DEPT.</v>
      </c>
      <c r="J141" s="57">
        <v>45689</v>
      </c>
      <c r="K141" s="63">
        <f t="shared" ca="1" si="6"/>
        <v>230</v>
      </c>
      <c r="L141" s="64" t="str">
        <f t="shared" ca="1" si="5"/>
        <v>UPDATED</v>
      </c>
    </row>
    <row r="142" spans="1:12" x14ac:dyDescent="0.2">
      <c r="A142" s="60" t="s">
        <v>190</v>
      </c>
      <c r="B142" s="60" t="s">
        <v>309</v>
      </c>
      <c r="C142" s="60" t="s">
        <v>247</v>
      </c>
      <c r="D142" s="56" t="s">
        <v>55</v>
      </c>
      <c r="E142" s="60" t="s">
        <v>248</v>
      </c>
      <c r="F142" s="60" t="s">
        <v>271</v>
      </c>
      <c r="G142" s="60" t="s">
        <v>49</v>
      </c>
      <c r="H142" s="60" t="str">
        <f>VLOOKUP($G142,Sheet3!$A$1:$C$6,2,)</f>
        <v>RAFAEL CRUCERO</v>
      </c>
      <c r="I142" s="60" t="str">
        <f>VLOOKUP($G142,Sheet3!$A$1:$C$6,3,)</f>
        <v>LSI HQ PD DIV. PD THD/SOP ASSY DEPT.</v>
      </c>
      <c r="J142" s="57">
        <v>45364</v>
      </c>
      <c r="K142" s="63">
        <f t="shared" ca="1" si="6"/>
        <v>555</v>
      </c>
      <c r="L142" s="64" t="str">
        <f t="shared" ca="1" si="5"/>
        <v>EXPIRED</v>
      </c>
    </row>
    <row r="143" spans="1:12" x14ac:dyDescent="0.2">
      <c r="A143" s="60" t="s">
        <v>194</v>
      </c>
      <c r="B143" s="60" t="s">
        <v>310</v>
      </c>
      <c r="C143" s="60" t="s">
        <v>247</v>
      </c>
      <c r="D143" s="56" t="s">
        <v>55</v>
      </c>
      <c r="E143" s="60" t="s">
        <v>248</v>
      </c>
      <c r="F143" s="60" t="s">
        <v>255</v>
      </c>
      <c r="G143" s="60" t="s">
        <v>49</v>
      </c>
      <c r="H143" s="60" t="str">
        <f>VLOOKUP($G143,Sheet3!$A$1:$C$6,2,)</f>
        <v>RAFAEL CRUCERO</v>
      </c>
      <c r="I143" s="60" t="str">
        <f>VLOOKUP($G143,Sheet3!$A$1:$C$6,3,)</f>
        <v>LSI HQ PD DIV. PD THD/SOP ASSY DEPT.</v>
      </c>
      <c r="J143" s="57">
        <v>45363</v>
      </c>
      <c r="K143" s="63">
        <f t="shared" ca="1" si="6"/>
        <v>556</v>
      </c>
      <c r="L143" s="64" t="str">
        <f t="shared" ca="1" si="5"/>
        <v>EXPIRED</v>
      </c>
    </row>
    <row r="144" spans="1:12" x14ac:dyDescent="0.2">
      <c r="A144" s="60" t="s">
        <v>163</v>
      </c>
      <c r="B144" s="60" t="s">
        <v>481</v>
      </c>
      <c r="C144" s="60" t="s">
        <v>247</v>
      </c>
      <c r="D144" s="56" t="s">
        <v>54</v>
      </c>
      <c r="E144" s="60" t="s">
        <v>248</v>
      </c>
      <c r="F144" s="60" t="s">
        <v>255</v>
      </c>
      <c r="G144" s="60" t="s">
        <v>49</v>
      </c>
      <c r="H144" s="60" t="str">
        <f>VLOOKUP($G144,Sheet3!$A$1:$C$6,2,)</f>
        <v>RAFAEL CRUCERO</v>
      </c>
      <c r="I144" s="60" t="str">
        <f>VLOOKUP($G144,Sheet3!$A$1:$C$6,3,)</f>
        <v>LSI HQ PD DIV. PD THD/SOP ASSY DEPT.</v>
      </c>
      <c r="J144" s="57">
        <v>45779</v>
      </c>
      <c r="K144" s="63">
        <f t="shared" ca="1" si="6"/>
        <v>140</v>
      </c>
      <c r="L144" s="64" t="str">
        <f t="shared" ca="1" si="5"/>
        <v>UPDATED</v>
      </c>
    </row>
    <row r="145" spans="1:12" x14ac:dyDescent="0.2">
      <c r="A145" s="60" t="s">
        <v>215</v>
      </c>
      <c r="B145" s="60" t="s">
        <v>308</v>
      </c>
      <c r="C145" s="60" t="s">
        <v>247</v>
      </c>
      <c r="D145" s="56" t="s">
        <v>55</v>
      </c>
      <c r="E145" s="60" t="s">
        <v>248</v>
      </c>
      <c r="F145" s="60" t="s">
        <v>260</v>
      </c>
      <c r="G145" s="60" t="s">
        <v>49</v>
      </c>
      <c r="H145" s="60" t="str">
        <f>VLOOKUP($G145,Sheet3!$A$1:$C$6,2,)</f>
        <v>RAFAEL CRUCERO</v>
      </c>
      <c r="I145" s="60" t="str">
        <f>VLOOKUP($G145,Sheet3!$A$1:$C$6,3,)</f>
        <v>LSI HQ PD DIV. PD THD/SOP ASSY DEPT.</v>
      </c>
      <c r="J145" s="57">
        <v>45362</v>
      </c>
      <c r="K145" s="63">
        <f t="shared" ca="1" si="6"/>
        <v>557</v>
      </c>
      <c r="L145" s="64" t="str">
        <f t="shared" ca="1" si="5"/>
        <v>EXPIRED</v>
      </c>
    </row>
    <row r="146" spans="1:12" x14ac:dyDescent="0.2">
      <c r="A146" s="60" t="s">
        <v>165</v>
      </c>
      <c r="B146" s="60" t="s">
        <v>457</v>
      </c>
      <c r="C146" s="60" t="s">
        <v>247</v>
      </c>
      <c r="D146" s="56" t="s">
        <v>52</v>
      </c>
      <c r="E146" s="60" t="s">
        <v>248</v>
      </c>
      <c r="F146" s="60" t="s">
        <v>275</v>
      </c>
      <c r="G146" s="60" t="s">
        <v>49</v>
      </c>
      <c r="H146" s="60" t="str">
        <f>VLOOKUP($G146,Sheet3!$A$1:$C$6,2,)</f>
        <v>RAFAEL CRUCERO</v>
      </c>
      <c r="I146" s="60" t="str">
        <f>VLOOKUP($G146,Sheet3!$A$1:$C$6,3,)</f>
        <v>LSI HQ PD DIV. PD THD/SOP ASSY DEPT.</v>
      </c>
      <c r="J146" s="57">
        <v>45514</v>
      </c>
      <c r="K146" s="63">
        <f t="shared" ca="1" si="6"/>
        <v>405</v>
      </c>
      <c r="L146" s="64" t="str">
        <f t="shared" ca="1" si="5"/>
        <v>EXPIRED</v>
      </c>
    </row>
    <row r="147" spans="1:12" x14ac:dyDescent="0.2">
      <c r="A147" s="60" t="s">
        <v>166</v>
      </c>
      <c r="B147" s="60" t="s">
        <v>463</v>
      </c>
      <c r="C147" s="60" t="s">
        <v>247</v>
      </c>
      <c r="D147" s="56" t="s">
        <v>52</v>
      </c>
      <c r="E147" s="60" t="s">
        <v>248</v>
      </c>
      <c r="F147" s="60" t="s">
        <v>255</v>
      </c>
      <c r="G147" s="60" t="s">
        <v>49</v>
      </c>
      <c r="H147" s="60" t="str">
        <f>VLOOKUP($G147,Sheet3!$A$1:$C$6,2,)</f>
        <v>RAFAEL CRUCERO</v>
      </c>
      <c r="I147" s="60" t="str">
        <f>VLOOKUP($G147,Sheet3!$A$1:$C$6,3,)</f>
        <v>LSI HQ PD DIV. PD THD/SOP ASSY DEPT.</v>
      </c>
      <c r="J147" s="57">
        <v>45686</v>
      </c>
      <c r="K147" s="63">
        <f t="shared" ca="1" si="6"/>
        <v>233</v>
      </c>
      <c r="L147" s="64" t="str">
        <f t="shared" ca="1" si="5"/>
        <v>UPDATED</v>
      </c>
    </row>
    <row r="148" spans="1:12" x14ac:dyDescent="0.2">
      <c r="A148" s="60" t="s">
        <v>167</v>
      </c>
      <c r="B148" s="60" t="s">
        <v>402</v>
      </c>
      <c r="C148" s="60" t="s">
        <v>247</v>
      </c>
      <c r="D148" s="56" t="s">
        <v>54</v>
      </c>
      <c r="E148" s="60" t="s">
        <v>248</v>
      </c>
      <c r="F148" s="60" t="s">
        <v>262</v>
      </c>
      <c r="G148" s="60" t="s">
        <v>49</v>
      </c>
      <c r="H148" s="60" t="str">
        <f>VLOOKUP($G148,Sheet3!$A$1:$C$6,2,)</f>
        <v>RAFAEL CRUCERO</v>
      </c>
      <c r="I148" s="60" t="str">
        <f>VLOOKUP($G148,Sheet3!$A$1:$C$6,3,)</f>
        <v>LSI HQ PD DIV. PD THD/SOP ASSY DEPT.</v>
      </c>
      <c r="J148" s="57">
        <v>45553</v>
      </c>
      <c r="K148" s="63">
        <f t="shared" ca="1" si="6"/>
        <v>366</v>
      </c>
      <c r="L148" s="64" t="str">
        <f t="shared" ca="1" si="5"/>
        <v>EXPIRED</v>
      </c>
    </row>
    <row r="149" spans="1:12" x14ac:dyDescent="0.2">
      <c r="A149" s="60" t="s">
        <v>168</v>
      </c>
      <c r="B149" s="60" t="s">
        <v>405</v>
      </c>
      <c r="C149" s="60" t="s">
        <v>247</v>
      </c>
      <c r="D149" s="56" t="s">
        <v>54</v>
      </c>
      <c r="E149" s="60" t="s">
        <v>248</v>
      </c>
      <c r="F149" s="60" t="s">
        <v>255</v>
      </c>
      <c r="G149" s="60" t="s">
        <v>49</v>
      </c>
      <c r="H149" s="60" t="str">
        <f>VLOOKUP($G149,Sheet3!$A$1:$C$6,2,)</f>
        <v>RAFAEL CRUCERO</v>
      </c>
      <c r="I149" s="60" t="str">
        <f>VLOOKUP($G149,Sheet3!$A$1:$C$6,3,)</f>
        <v>LSI HQ PD DIV. PD THD/SOP ASSY DEPT.</v>
      </c>
      <c r="J149" s="57">
        <v>45719</v>
      </c>
      <c r="K149" s="63">
        <f t="shared" ca="1" si="6"/>
        <v>200</v>
      </c>
      <c r="L149" s="64" t="str">
        <f t="shared" ca="1" si="5"/>
        <v>UPDATED</v>
      </c>
    </row>
    <row r="150" spans="1:12" x14ac:dyDescent="0.2">
      <c r="A150" s="60" t="s">
        <v>169</v>
      </c>
      <c r="B150" s="60" t="s">
        <v>292</v>
      </c>
      <c r="C150" s="60" t="s">
        <v>247</v>
      </c>
      <c r="D150" s="56" t="s">
        <v>55</v>
      </c>
      <c r="E150" s="60" t="s">
        <v>248</v>
      </c>
      <c r="F150" s="60" t="s">
        <v>271</v>
      </c>
      <c r="G150" s="60" t="s">
        <v>49</v>
      </c>
      <c r="H150" s="60" t="str">
        <f>VLOOKUP($G150,Sheet3!$A$1:$C$6,2,)</f>
        <v>RAFAEL CRUCERO</v>
      </c>
      <c r="I150" s="60" t="str">
        <f>VLOOKUP($G150,Sheet3!$A$1:$C$6,3,)</f>
        <v>LSI HQ PD DIV. PD THD/SOP ASSY DEPT.</v>
      </c>
      <c r="J150" s="57">
        <v>45677</v>
      </c>
      <c r="K150" s="63">
        <f t="shared" ca="1" si="6"/>
        <v>242</v>
      </c>
      <c r="L150" s="64" t="str">
        <f t="shared" ca="1" si="5"/>
        <v>UPDATED</v>
      </c>
    </row>
    <row r="151" spans="1:12" x14ac:dyDescent="0.2">
      <c r="A151" s="60" t="s">
        <v>204</v>
      </c>
      <c r="B151" s="60" t="s">
        <v>307</v>
      </c>
      <c r="C151" s="60" t="s">
        <v>247</v>
      </c>
      <c r="D151" s="56" t="s">
        <v>55</v>
      </c>
      <c r="E151" s="60" t="s">
        <v>248</v>
      </c>
      <c r="F151" s="60" t="s">
        <v>260</v>
      </c>
      <c r="G151" s="60" t="s">
        <v>49</v>
      </c>
      <c r="H151" s="60" t="str">
        <f>VLOOKUP($G151,Sheet3!$A$1:$C$6,2,)</f>
        <v>RAFAEL CRUCERO</v>
      </c>
      <c r="I151" s="60" t="str">
        <f>VLOOKUP($G151,Sheet3!$A$1:$C$6,3,)</f>
        <v>LSI HQ PD DIV. PD THD/SOP ASSY DEPT.</v>
      </c>
      <c r="J151" s="57">
        <v>45360</v>
      </c>
      <c r="K151" s="63">
        <f t="shared" ca="1" si="6"/>
        <v>559</v>
      </c>
      <c r="L151" s="64" t="str">
        <f t="shared" ca="1" si="5"/>
        <v>EXPIRED</v>
      </c>
    </row>
    <row r="152" spans="1:12" x14ac:dyDescent="0.2">
      <c r="A152" s="60" t="s">
        <v>171</v>
      </c>
      <c r="B152" s="60" t="s">
        <v>283</v>
      </c>
      <c r="C152" s="60" t="s">
        <v>247</v>
      </c>
      <c r="D152" s="56" t="s">
        <v>55</v>
      </c>
      <c r="E152" s="60" t="s">
        <v>248</v>
      </c>
      <c r="F152" s="60" t="s">
        <v>260</v>
      </c>
      <c r="G152" s="60" t="s">
        <v>49</v>
      </c>
      <c r="H152" s="60" t="str">
        <f>VLOOKUP($G152,Sheet3!$A$1:$C$6,2,)</f>
        <v>RAFAEL CRUCERO</v>
      </c>
      <c r="I152" s="60" t="str">
        <f>VLOOKUP($G152,Sheet3!$A$1:$C$6,3,)</f>
        <v>LSI HQ PD DIV. PD THD/SOP ASSY DEPT.</v>
      </c>
      <c r="J152" s="57">
        <v>45671</v>
      </c>
      <c r="K152" s="63">
        <f t="shared" ca="1" si="6"/>
        <v>248</v>
      </c>
      <c r="L152" s="64" t="str">
        <f t="shared" ca="1" si="5"/>
        <v>UPDATED</v>
      </c>
    </row>
    <row r="153" spans="1:12" x14ac:dyDescent="0.2">
      <c r="A153" s="60" t="s">
        <v>172</v>
      </c>
      <c r="B153" s="60" t="s">
        <v>372</v>
      </c>
      <c r="C153" s="60" t="s">
        <v>247</v>
      </c>
      <c r="D153" s="56" t="s">
        <v>55</v>
      </c>
      <c r="E153" s="60" t="s">
        <v>248</v>
      </c>
      <c r="F153" s="60" t="s">
        <v>260</v>
      </c>
      <c r="G153" s="60" t="s">
        <v>49</v>
      </c>
      <c r="H153" s="60" t="str">
        <f>VLOOKUP($G153,Sheet3!$A$1:$C$6,2,)</f>
        <v>RAFAEL CRUCERO</v>
      </c>
      <c r="I153" s="60" t="str">
        <f>VLOOKUP($G153,Sheet3!$A$1:$C$6,3,)</f>
        <v>LSI HQ PD DIV. PD THD/SOP ASSY DEPT.</v>
      </c>
      <c r="J153" s="57">
        <v>45606</v>
      </c>
      <c r="K153" s="63">
        <f t="shared" ca="1" si="6"/>
        <v>313</v>
      </c>
      <c r="L153" s="64" t="str">
        <f t="shared" ref="L153:L184" ca="1" si="7">IF(K153&gt;=365,"EXPIRED","UPDATED")</f>
        <v>UPDATED</v>
      </c>
    </row>
    <row r="154" spans="1:12" x14ac:dyDescent="0.2">
      <c r="A154" s="60" t="s">
        <v>195</v>
      </c>
      <c r="B154" s="60" t="s">
        <v>305</v>
      </c>
      <c r="C154" s="60" t="s">
        <v>247</v>
      </c>
      <c r="D154" s="56" t="s">
        <v>55</v>
      </c>
      <c r="E154" s="60" t="s">
        <v>248</v>
      </c>
      <c r="F154" s="60" t="s">
        <v>271</v>
      </c>
      <c r="G154" s="60" t="s">
        <v>49</v>
      </c>
      <c r="H154" s="60" t="str">
        <f>VLOOKUP($G154,Sheet3!$A$1:$C$6,2,)</f>
        <v>RAFAEL CRUCERO</v>
      </c>
      <c r="I154" s="60" t="str">
        <f>VLOOKUP($G154,Sheet3!$A$1:$C$6,3,)</f>
        <v>LSI HQ PD DIV. PD THD/SOP ASSY DEPT.</v>
      </c>
      <c r="J154" s="57">
        <v>45357</v>
      </c>
      <c r="K154" s="63">
        <f t="shared" ca="1" si="6"/>
        <v>562</v>
      </c>
      <c r="L154" s="64" t="str">
        <f t="shared" ca="1" si="7"/>
        <v>EXPIRED</v>
      </c>
    </row>
    <row r="155" spans="1:12" x14ac:dyDescent="0.2">
      <c r="A155" s="60" t="s">
        <v>174</v>
      </c>
      <c r="B155" s="60" t="s">
        <v>273</v>
      </c>
      <c r="C155" s="60" t="s">
        <v>247</v>
      </c>
      <c r="D155" s="56" t="s">
        <v>55</v>
      </c>
      <c r="E155" s="60" t="s">
        <v>248</v>
      </c>
      <c r="F155" s="60" t="s">
        <v>260</v>
      </c>
      <c r="G155" s="60" t="s">
        <v>49</v>
      </c>
      <c r="H155" s="60" t="str">
        <f>VLOOKUP($G155,Sheet3!$A$1:$C$6,2,)</f>
        <v>RAFAEL CRUCERO</v>
      </c>
      <c r="I155" s="60" t="str">
        <f>VLOOKUP($G155,Sheet3!$A$1:$C$6,3,)</f>
        <v>LSI HQ PD DIV. PD THD/SOP ASSY DEPT.</v>
      </c>
      <c r="J155" s="57">
        <v>45822</v>
      </c>
      <c r="K155" s="63">
        <f t="shared" ca="1" si="6"/>
        <v>97</v>
      </c>
      <c r="L155" s="64" t="str">
        <f t="shared" ca="1" si="7"/>
        <v>UPDATED</v>
      </c>
    </row>
    <row r="156" spans="1:12" x14ac:dyDescent="0.2">
      <c r="A156" s="60" t="s">
        <v>175</v>
      </c>
      <c r="B156" s="60" t="s">
        <v>256</v>
      </c>
      <c r="C156" s="60" t="s">
        <v>247</v>
      </c>
      <c r="D156" s="56" t="s">
        <v>55</v>
      </c>
      <c r="E156" s="60" t="s">
        <v>248</v>
      </c>
      <c r="F156" s="60" t="s">
        <v>255</v>
      </c>
      <c r="G156" s="60" t="s">
        <v>49</v>
      </c>
      <c r="H156" s="60" t="str">
        <f>VLOOKUP($G156,Sheet3!$A$1:$C$6,2,)</f>
        <v>RAFAEL CRUCERO</v>
      </c>
      <c r="I156" s="60" t="str">
        <f>VLOOKUP($G156,Sheet3!$A$1:$C$6,3,)</f>
        <v>LSI HQ PD DIV. PD THD/SOP ASSY DEPT.</v>
      </c>
      <c r="J156" s="57">
        <v>45665</v>
      </c>
      <c r="K156" s="63">
        <f t="shared" ca="1" si="6"/>
        <v>254</v>
      </c>
      <c r="L156" s="64" t="str">
        <f t="shared" ca="1" si="7"/>
        <v>UPDATED</v>
      </c>
    </row>
    <row r="157" spans="1:12" x14ac:dyDescent="0.2">
      <c r="A157" s="60" t="s">
        <v>303</v>
      </c>
      <c r="B157" s="60" t="s">
        <v>304</v>
      </c>
      <c r="C157" s="60" t="s">
        <v>247</v>
      </c>
      <c r="D157" s="56" t="s">
        <v>55</v>
      </c>
      <c r="E157" s="60" t="s">
        <v>248</v>
      </c>
      <c r="F157" s="60" t="s">
        <v>255</v>
      </c>
      <c r="G157" s="60" t="s">
        <v>49</v>
      </c>
      <c r="H157" s="60" t="str">
        <f>VLOOKUP($G157,Sheet3!$A$1:$C$6,2,)</f>
        <v>RAFAEL CRUCERO</v>
      </c>
      <c r="I157" s="60" t="str">
        <f>VLOOKUP($G157,Sheet3!$A$1:$C$6,3,)</f>
        <v>LSI HQ PD DIV. PD THD/SOP ASSY DEPT.</v>
      </c>
      <c r="J157" s="57">
        <v>45353</v>
      </c>
      <c r="K157" s="63">
        <f t="shared" ca="1" si="6"/>
        <v>566</v>
      </c>
      <c r="L157" s="64" t="str">
        <f t="shared" ca="1" si="7"/>
        <v>EXPIRED</v>
      </c>
    </row>
    <row r="158" spans="1:12" x14ac:dyDescent="0.2">
      <c r="A158" s="60" t="s">
        <v>173</v>
      </c>
      <c r="B158" s="60" t="s">
        <v>279</v>
      </c>
      <c r="C158" s="60" t="s">
        <v>247</v>
      </c>
      <c r="D158" s="56" t="s">
        <v>55</v>
      </c>
      <c r="E158" s="60" t="s">
        <v>248</v>
      </c>
      <c r="F158" s="60" t="s">
        <v>252</v>
      </c>
      <c r="G158" s="60" t="s">
        <v>49</v>
      </c>
      <c r="H158" s="60" t="str">
        <f>VLOOKUP($G158,Sheet3!$A$1:$C$6,2,)</f>
        <v>RAFAEL CRUCERO</v>
      </c>
      <c r="I158" s="60" t="str">
        <f>VLOOKUP($G158,Sheet3!$A$1:$C$6,3,)</f>
        <v>LSI HQ PD DIV. PD THD/SOP ASSY DEPT.</v>
      </c>
      <c r="J158" s="57">
        <v>45273</v>
      </c>
      <c r="K158" s="63">
        <f t="shared" ca="1" si="6"/>
        <v>646</v>
      </c>
      <c r="L158" s="64" t="str">
        <f t="shared" ca="1" si="7"/>
        <v>EXPIRED</v>
      </c>
    </row>
    <row r="159" spans="1:12" x14ac:dyDescent="0.2">
      <c r="A159" s="60" t="s">
        <v>277</v>
      </c>
      <c r="B159" s="60" t="s">
        <v>278</v>
      </c>
      <c r="C159" s="60" t="s">
        <v>247</v>
      </c>
      <c r="D159" s="56" t="s">
        <v>55</v>
      </c>
      <c r="E159" s="60" t="s">
        <v>248</v>
      </c>
      <c r="F159" s="60" t="s">
        <v>255</v>
      </c>
      <c r="G159" s="60" t="s">
        <v>49</v>
      </c>
      <c r="H159" s="60" t="str">
        <f>VLOOKUP($G159,Sheet3!$A$1:$C$6,2,)</f>
        <v>RAFAEL CRUCERO</v>
      </c>
      <c r="I159" s="60" t="str">
        <f>VLOOKUP($G159,Sheet3!$A$1:$C$6,3,)</f>
        <v>LSI HQ PD DIV. PD THD/SOP ASSY DEPT.</v>
      </c>
      <c r="J159" s="57">
        <v>45272</v>
      </c>
      <c r="K159" s="63">
        <f t="shared" ca="1" si="6"/>
        <v>647</v>
      </c>
      <c r="L159" s="64" t="str">
        <f t="shared" ca="1" si="7"/>
        <v>EXPIRED</v>
      </c>
    </row>
    <row r="160" spans="1:12" x14ac:dyDescent="0.2">
      <c r="A160" s="60" t="s">
        <v>179</v>
      </c>
      <c r="B160" s="60" t="s">
        <v>345</v>
      </c>
      <c r="C160" s="60" t="s">
        <v>247</v>
      </c>
      <c r="D160" s="56" t="s">
        <v>55</v>
      </c>
      <c r="E160" s="60" t="s">
        <v>248</v>
      </c>
      <c r="F160" s="60" t="s">
        <v>260</v>
      </c>
      <c r="G160" s="60" t="s">
        <v>49</v>
      </c>
      <c r="H160" s="60" t="str">
        <f>VLOOKUP($G160,Sheet3!$A$1:$C$6,2,)</f>
        <v>RAFAEL CRUCERO</v>
      </c>
      <c r="I160" s="60" t="str">
        <f>VLOOKUP($G160,Sheet3!$A$1:$C$6,3,)</f>
        <v>LSI HQ PD DIV. PD THD/SOP ASSY DEPT.</v>
      </c>
      <c r="J160" s="57">
        <v>45571</v>
      </c>
      <c r="K160" s="63">
        <f t="shared" ca="1" si="6"/>
        <v>348</v>
      </c>
      <c r="L160" s="64" t="str">
        <f t="shared" ca="1" si="7"/>
        <v>UPDATED</v>
      </c>
    </row>
    <row r="161" spans="1:12" x14ac:dyDescent="0.2">
      <c r="A161" s="60" t="s">
        <v>180</v>
      </c>
      <c r="B161" s="60" t="s">
        <v>334</v>
      </c>
      <c r="C161" s="60" t="s">
        <v>247</v>
      </c>
      <c r="D161" s="56" t="s">
        <v>55</v>
      </c>
      <c r="E161" s="60" t="s">
        <v>248</v>
      </c>
      <c r="F161" s="60" t="s">
        <v>252</v>
      </c>
      <c r="G161" s="60" t="s">
        <v>49</v>
      </c>
      <c r="H161" s="60" t="str">
        <f>VLOOKUP($G161,Sheet3!$A$1:$C$6,2,)</f>
        <v>RAFAEL CRUCERO</v>
      </c>
      <c r="I161" s="60" t="str">
        <f>VLOOKUP($G161,Sheet3!$A$1:$C$6,3,)</f>
        <v>LSI HQ PD DIV. PD THD/SOP ASSY DEPT.</v>
      </c>
      <c r="J161" s="57">
        <v>45510</v>
      </c>
      <c r="K161" s="63">
        <f t="shared" ca="1" si="6"/>
        <v>409</v>
      </c>
      <c r="L161" s="64" t="str">
        <f t="shared" ca="1" si="7"/>
        <v>EXPIRED</v>
      </c>
    </row>
    <row r="162" spans="1:12" x14ac:dyDescent="0.2">
      <c r="A162" s="60" t="s">
        <v>181</v>
      </c>
      <c r="B162" s="60" t="s">
        <v>296</v>
      </c>
      <c r="C162" s="60" t="s">
        <v>247</v>
      </c>
      <c r="D162" s="56" t="s">
        <v>55</v>
      </c>
      <c r="E162" s="60" t="s">
        <v>248</v>
      </c>
      <c r="F162" s="60" t="s">
        <v>254</v>
      </c>
      <c r="G162" s="60" t="s">
        <v>49</v>
      </c>
      <c r="H162" s="60" t="str">
        <f>VLOOKUP($G162,Sheet3!$A$1:$C$6,2,)</f>
        <v>RAFAEL CRUCERO</v>
      </c>
      <c r="I162" s="60" t="str">
        <f>VLOOKUP($G162,Sheet3!$A$1:$C$6,3,)</f>
        <v>LSI HQ PD DIV. PD THD/SOP ASSY DEPT.</v>
      </c>
      <c r="J162" s="57">
        <v>45700</v>
      </c>
      <c r="K162" s="63">
        <f t="shared" ca="1" si="6"/>
        <v>219</v>
      </c>
      <c r="L162" s="64" t="str">
        <f t="shared" ca="1" si="7"/>
        <v>UPDATED</v>
      </c>
    </row>
    <row r="163" spans="1:12" x14ac:dyDescent="0.2">
      <c r="A163" s="60" t="s">
        <v>198</v>
      </c>
      <c r="B163" s="60" t="s">
        <v>276</v>
      </c>
      <c r="C163" s="60" t="s">
        <v>247</v>
      </c>
      <c r="D163" s="56" t="s">
        <v>55</v>
      </c>
      <c r="E163" s="60" t="s">
        <v>248</v>
      </c>
      <c r="F163" s="60" t="s">
        <v>271</v>
      </c>
      <c r="G163" s="60" t="s">
        <v>49</v>
      </c>
      <c r="H163" s="60" t="str">
        <f>VLOOKUP($G163,Sheet3!$A$1:$C$6,2,)</f>
        <v>RAFAEL CRUCERO</v>
      </c>
      <c r="I163" s="60" t="str">
        <f>VLOOKUP($G163,Sheet3!$A$1:$C$6,3,)</f>
        <v>LSI HQ PD DIV. PD THD/SOP ASSY DEPT.</v>
      </c>
      <c r="J163" s="57">
        <v>45261</v>
      </c>
      <c r="K163" s="63">
        <f t="shared" ca="1" si="6"/>
        <v>658</v>
      </c>
      <c r="L163" s="64" t="str">
        <f t="shared" ca="1" si="7"/>
        <v>EXPIRED</v>
      </c>
    </row>
    <row r="164" spans="1:12" x14ac:dyDescent="0.2">
      <c r="A164" s="60" t="s">
        <v>183</v>
      </c>
      <c r="B164" s="60" t="s">
        <v>297</v>
      </c>
      <c r="C164" s="60" t="s">
        <v>247</v>
      </c>
      <c r="D164" s="56" t="s">
        <v>55</v>
      </c>
      <c r="E164" s="60" t="s">
        <v>248</v>
      </c>
      <c r="F164" s="60" t="s">
        <v>255</v>
      </c>
      <c r="G164" s="60" t="s">
        <v>49</v>
      </c>
      <c r="H164" s="60" t="str">
        <f>VLOOKUP($G164,Sheet3!$A$1:$C$6,2,)</f>
        <v>RAFAEL CRUCERO</v>
      </c>
      <c r="I164" s="60" t="str">
        <f>VLOOKUP($G164,Sheet3!$A$1:$C$6,3,)</f>
        <v>LSI HQ PD DIV. PD THD/SOP ASSY DEPT.</v>
      </c>
      <c r="J164" s="57">
        <v>45710</v>
      </c>
      <c r="K164" s="63">
        <f t="shared" ca="1" si="6"/>
        <v>209</v>
      </c>
      <c r="L164" s="64" t="str">
        <f t="shared" ca="1" si="7"/>
        <v>UPDATED</v>
      </c>
    </row>
    <row r="165" spans="1:12" x14ac:dyDescent="0.2">
      <c r="A165" s="60" t="s">
        <v>184</v>
      </c>
      <c r="B165" s="60" t="s">
        <v>287</v>
      </c>
      <c r="C165" s="60" t="s">
        <v>247</v>
      </c>
      <c r="D165" s="56" t="s">
        <v>55</v>
      </c>
      <c r="E165" s="60" t="s">
        <v>248</v>
      </c>
      <c r="F165" s="60" t="s">
        <v>255</v>
      </c>
      <c r="G165" s="60" t="s">
        <v>49</v>
      </c>
      <c r="H165" s="60" t="str">
        <f>VLOOKUP($G165,Sheet3!$A$1:$C$6,2,)</f>
        <v>RAFAEL CRUCERO</v>
      </c>
      <c r="I165" s="60" t="str">
        <f>VLOOKUP($G165,Sheet3!$A$1:$C$6,3,)</f>
        <v>LSI HQ PD DIV. PD THD/SOP ASSY DEPT.</v>
      </c>
      <c r="J165" s="57">
        <v>45671</v>
      </c>
      <c r="K165" s="63">
        <f t="shared" ca="1" si="6"/>
        <v>248</v>
      </c>
      <c r="L165" s="64" t="str">
        <f t="shared" ca="1" si="7"/>
        <v>UPDATED</v>
      </c>
    </row>
    <row r="166" spans="1:12" x14ac:dyDescent="0.2">
      <c r="A166" s="60" t="s">
        <v>362</v>
      </c>
      <c r="B166" s="60" t="s">
        <v>363</v>
      </c>
      <c r="C166" s="60" t="s">
        <v>247</v>
      </c>
      <c r="D166" s="56" t="s">
        <v>55</v>
      </c>
      <c r="E166" s="60" t="s">
        <v>248</v>
      </c>
      <c r="F166" s="60" t="s">
        <v>252</v>
      </c>
      <c r="G166" s="60" t="s">
        <v>49</v>
      </c>
      <c r="H166" s="60" t="str">
        <f>VLOOKUP($G166,Sheet3!$A$1:$C$6,2,)</f>
        <v>RAFAEL CRUCERO</v>
      </c>
      <c r="I166" s="60" t="str">
        <f>VLOOKUP($G166,Sheet3!$A$1:$C$6,3,)</f>
        <v>LSI HQ PD DIV. PD THD/SOP ASSY DEPT.</v>
      </c>
      <c r="J166" s="57">
        <v>45252</v>
      </c>
      <c r="K166" s="63">
        <f t="shared" ca="1" si="6"/>
        <v>667</v>
      </c>
      <c r="L166" s="64" t="str">
        <f t="shared" ca="1" si="7"/>
        <v>EXPIRED</v>
      </c>
    </row>
    <row r="167" spans="1:12" x14ac:dyDescent="0.2">
      <c r="A167" s="60" t="s">
        <v>186</v>
      </c>
      <c r="B167" s="60" t="s">
        <v>293</v>
      </c>
      <c r="C167" s="60" t="s">
        <v>247</v>
      </c>
      <c r="D167" s="56" t="s">
        <v>55</v>
      </c>
      <c r="E167" s="60" t="s">
        <v>248</v>
      </c>
      <c r="F167" s="60" t="s">
        <v>255</v>
      </c>
      <c r="G167" s="60" t="s">
        <v>49</v>
      </c>
      <c r="H167" s="60" t="str">
        <f>VLOOKUP($G167,Sheet3!$A$1:$C$6,2,)</f>
        <v>RAFAEL CRUCERO</v>
      </c>
      <c r="I167" s="60" t="str">
        <f>VLOOKUP($G167,Sheet3!$A$1:$C$6,3,)</f>
        <v>LSI HQ PD DIV. PD THD/SOP ASSY DEPT.</v>
      </c>
      <c r="J167" s="57">
        <v>45693</v>
      </c>
      <c r="K167" s="63">
        <f t="shared" ca="1" si="6"/>
        <v>226</v>
      </c>
      <c r="L167" s="64" t="str">
        <f t="shared" ca="1" si="7"/>
        <v>UPDATED</v>
      </c>
    </row>
    <row r="168" spans="1:12" x14ac:dyDescent="0.2">
      <c r="A168" s="60" t="s">
        <v>187</v>
      </c>
      <c r="B168" s="60" t="s">
        <v>492</v>
      </c>
      <c r="C168" s="60" t="s">
        <v>247</v>
      </c>
      <c r="D168" s="56" t="s">
        <v>55</v>
      </c>
      <c r="E168" s="60" t="s">
        <v>248</v>
      </c>
      <c r="F168" s="60" t="s">
        <v>255</v>
      </c>
      <c r="G168" s="60" t="s">
        <v>49</v>
      </c>
      <c r="H168" s="60" t="str">
        <f>VLOOKUP($G168,Sheet3!$A$1:$C$6,2,)</f>
        <v>RAFAEL CRUCERO</v>
      </c>
      <c r="I168" s="60" t="str">
        <f>VLOOKUP($G168,Sheet3!$A$1:$C$6,3,)</f>
        <v>LSI HQ PD DIV. PD THD/SOP ASSY DEPT.</v>
      </c>
      <c r="J168" s="57">
        <v>45716</v>
      </c>
      <c r="K168" s="63">
        <f t="shared" ca="1" si="6"/>
        <v>203</v>
      </c>
      <c r="L168" s="64" t="str">
        <f t="shared" ca="1" si="7"/>
        <v>UPDATED</v>
      </c>
    </row>
    <row r="169" spans="1:12" x14ac:dyDescent="0.2">
      <c r="A169" s="60" t="s">
        <v>188</v>
      </c>
      <c r="B169" s="60" t="s">
        <v>299</v>
      </c>
      <c r="C169" s="60" t="s">
        <v>247</v>
      </c>
      <c r="D169" s="56" t="s">
        <v>55</v>
      </c>
      <c r="E169" s="60" t="s">
        <v>248</v>
      </c>
      <c r="F169" s="60" t="s">
        <v>254</v>
      </c>
      <c r="G169" s="60" t="s">
        <v>49</v>
      </c>
      <c r="H169" s="60" t="str">
        <f>VLOOKUP($G169,Sheet3!$A$1:$C$6,2,)</f>
        <v>RAFAEL CRUCERO</v>
      </c>
      <c r="I169" s="60" t="str">
        <f>VLOOKUP($G169,Sheet3!$A$1:$C$6,3,)</f>
        <v>LSI HQ PD DIV. PD THD/SOP ASSY DEPT.</v>
      </c>
      <c r="J169" s="57">
        <v>45712</v>
      </c>
      <c r="K169" s="63">
        <f t="shared" ca="1" si="6"/>
        <v>207</v>
      </c>
      <c r="L169" s="64" t="str">
        <f t="shared" ca="1" si="7"/>
        <v>UPDATED</v>
      </c>
    </row>
    <row r="170" spans="1:12" x14ac:dyDescent="0.2">
      <c r="A170" s="60" t="s">
        <v>226</v>
      </c>
      <c r="B170" s="60" t="s">
        <v>371</v>
      </c>
      <c r="C170" s="60" t="s">
        <v>247</v>
      </c>
      <c r="D170" s="56" t="s">
        <v>55</v>
      </c>
      <c r="E170" s="60" t="s">
        <v>248</v>
      </c>
      <c r="F170" s="60" t="s">
        <v>252</v>
      </c>
      <c r="G170" s="60" t="s">
        <v>49</v>
      </c>
      <c r="H170" s="60" t="str">
        <f>VLOOKUP($G170,Sheet3!$A$1:$C$6,2,)</f>
        <v>RAFAEL CRUCERO</v>
      </c>
      <c r="I170" s="60" t="str">
        <f>VLOOKUP($G170,Sheet3!$A$1:$C$6,3,)</f>
        <v>LSI HQ PD DIV. PD THD/SOP ASSY DEPT.</v>
      </c>
      <c r="J170" s="57">
        <v>45240</v>
      </c>
      <c r="K170" s="63">
        <f t="shared" ca="1" si="6"/>
        <v>679</v>
      </c>
      <c r="L170" s="64" t="str">
        <f t="shared" ca="1" si="7"/>
        <v>EXPIRED</v>
      </c>
    </row>
    <row r="171" spans="1:12" x14ac:dyDescent="0.2">
      <c r="A171" s="60" t="s">
        <v>176</v>
      </c>
      <c r="B171" s="60" t="s">
        <v>370</v>
      </c>
      <c r="C171" s="60" t="s">
        <v>247</v>
      </c>
      <c r="D171" s="56" t="s">
        <v>55</v>
      </c>
      <c r="E171" s="60" t="s">
        <v>248</v>
      </c>
      <c r="F171" s="60" t="s">
        <v>271</v>
      </c>
      <c r="G171" s="60" t="s">
        <v>49</v>
      </c>
      <c r="H171" s="60" t="str">
        <f>VLOOKUP($G171,Sheet3!$A$1:$C$6,2,)</f>
        <v>RAFAEL CRUCERO</v>
      </c>
      <c r="I171" s="60" t="str">
        <f>VLOOKUP($G171,Sheet3!$A$1:$C$6,3,)</f>
        <v>LSI HQ PD DIV. PD THD/SOP ASSY DEPT.</v>
      </c>
      <c r="J171" s="57">
        <v>45239</v>
      </c>
      <c r="K171" s="63">
        <f t="shared" ca="1" si="6"/>
        <v>680</v>
      </c>
      <c r="L171" s="64" t="str">
        <f t="shared" ca="1" si="7"/>
        <v>EXPIRED</v>
      </c>
    </row>
    <row r="172" spans="1:12" x14ac:dyDescent="0.2">
      <c r="A172" s="60" t="s">
        <v>360</v>
      </c>
      <c r="B172" s="60" t="s">
        <v>361</v>
      </c>
      <c r="C172" s="60" t="s">
        <v>247</v>
      </c>
      <c r="D172" s="56" t="s">
        <v>55</v>
      </c>
      <c r="E172" s="60" t="s">
        <v>248</v>
      </c>
      <c r="F172" s="60" t="s">
        <v>260</v>
      </c>
      <c r="G172" s="60" t="s">
        <v>49</v>
      </c>
      <c r="H172" s="60" t="str">
        <f>VLOOKUP($G172,Sheet3!$A$1:$C$6,2,)</f>
        <v>RAFAEL CRUCERO</v>
      </c>
      <c r="I172" s="60" t="str">
        <f>VLOOKUP($G172,Sheet3!$A$1:$C$6,3,)</f>
        <v>LSI HQ PD DIV. PD THD/SOP ASSY DEPT.</v>
      </c>
      <c r="J172" s="57">
        <v>45238</v>
      </c>
      <c r="K172" s="63">
        <f t="shared" ca="1" si="6"/>
        <v>681</v>
      </c>
      <c r="L172" s="64" t="str">
        <f t="shared" ca="1" si="7"/>
        <v>EXPIRED</v>
      </c>
    </row>
    <row r="173" spans="1:12" x14ac:dyDescent="0.2">
      <c r="A173" s="60" t="s">
        <v>192</v>
      </c>
      <c r="B173" s="60" t="s">
        <v>333</v>
      </c>
      <c r="C173" s="60" t="s">
        <v>247</v>
      </c>
      <c r="D173" s="56" t="s">
        <v>55</v>
      </c>
      <c r="E173" s="60" t="s">
        <v>248</v>
      </c>
      <c r="F173" s="60" t="s">
        <v>260</v>
      </c>
      <c r="G173" s="60" t="s">
        <v>49</v>
      </c>
      <c r="H173" s="60" t="str">
        <f>VLOOKUP($G173,Sheet3!$A$1:$C$6,2,)</f>
        <v>RAFAEL CRUCERO</v>
      </c>
      <c r="I173" s="60" t="str">
        <f>VLOOKUP($G173,Sheet3!$A$1:$C$6,3,)</f>
        <v>LSI HQ PD DIV. PD THD/SOP ASSY DEPT.</v>
      </c>
      <c r="J173" s="57">
        <v>45510</v>
      </c>
      <c r="K173" s="63">
        <f t="shared" ca="1" si="6"/>
        <v>409</v>
      </c>
      <c r="L173" s="64" t="str">
        <f t="shared" ca="1" si="7"/>
        <v>EXPIRED</v>
      </c>
    </row>
    <row r="174" spans="1:12" x14ac:dyDescent="0.2">
      <c r="A174" s="60" t="s">
        <v>193</v>
      </c>
      <c r="B174" s="60" t="s">
        <v>284</v>
      </c>
      <c r="C174" s="60" t="s">
        <v>247</v>
      </c>
      <c r="D174" s="56" t="s">
        <v>55</v>
      </c>
      <c r="E174" s="60" t="s">
        <v>248</v>
      </c>
      <c r="F174" s="60" t="s">
        <v>255</v>
      </c>
      <c r="G174" s="60" t="s">
        <v>49</v>
      </c>
      <c r="H174" s="60" t="str">
        <f>VLOOKUP($G174,Sheet3!$A$1:$C$6,2,)</f>
        <v>RAFAEL CRUCERO</v>
      </c>
      <c r="I174" s="60" t="str">
        <f>VLOOKUP($G174,Sheet3!$A$1:$C$6,3,)</f>
        <v>LSI HQ PD DIV. PD THD/SOP ASSY DEPT.</v>
      </c>
      <c r="J174" s="57">
        <v>45671</v>
      </c>
      <c r="K174" s="63">
        <f t="shared" ca="1" si="6"/>
        <v>248</v>
      </c>
      <c r="L174" s="64" t="str">
        <f t="shared" ca="1" si="7"/>
        <v>UPDATED</v>
      </c>
    </row>
    <row r="175" spans="1:12" x14ac:dyDescent="0.2">
      <c r="A175" s="60" t="s">
        <v>205</v>
      </c>
      <c r="B175" s="60" t="s">
        <v>359</v>
      </c>
      <c r="C175" s="60" t="s">
        <v>247</v>
      </c>
      <c r="D175" s="56" t="s">
        <v>55</v>
      </c>
      <c r="E175" s="60" t="s">
        <v>248</v>
      </c>
      <c r="F175" s="60" t="s">
        <v>255</v>
      </c>
      <c r="G175" s="60" t="s">
        <v>49</v>
      </c>
      <c r="H175" s="60" t="str">
        <f>VLOOKUP($G175,Sheet3!$A$1:$C$6,2,)</f>
        <v>RAFAEL CRUCERO</v>
      </c>
      <c r="I175" s="60" t="str">
        <f>VLOOKUP($G175,Sheet3!$A$1:$C$6,3,)</f>
        <v>LSI HQ PD DIV. PD THD/SOP ASSY DEPT.</v>
      </c>
      <c r="J175" s="57">
        <v>45237</v>
      </c>
      <c r="K175" s="63">
        <f t="shared" ca="1" si="6"/>
        <v>682</v>
      </c>
      <c r="L175" s="64" t="str">
        <f t="shared" ca="1" si="7"/>
        <v>EXPIRED</v>
      </c>
    </row>
    <row r="176" spans="1:12" x14ac:dyDescent="0.2">
      <c r="A176" s="60" t="s">
        <v>364</v>
      </c>
      <c r="B176" s="60" t="s">
        <v>365</v>
      </c>
      <c r="C176" s="60" t="s">
        <v>247</v>
      </c>
      <c r="D176" s="56" t="s">
        <v>55</v>
      </c>
      <c r="E176" s="60" t="s">
        <v>248</v>
      </c>
      <c r="F176" s="60" t="s">
        <v>252</v>
      </c>
      <c r="G176" s="60" t="s">
        <v>49</v>
      </c>
      <c r="H176" s="60" t="str">
        <f>VLOOKUP($G176,Sheet3!$A$1:$C$6,2,)</f>
        <v>RAFAEL CRUCERO</v>
      </c>
      <c r="I176" s="60" t="str">
        <f>VLOOKUP($G176,Sheet3!$A$1:$C$6,3,)</f>
        <v>LSI HQ PD DIV. PD THD/SOP ASSY DEPT.</v>
      </c>
      <c r="J176" s="57">
        <v>45235</v>
      </c>
      <c r="K176" s="63">
        <f t="shared" ca="1" si="6"/>
        <v>684</v>
      </c>
      <c r="L176" s="64" t="str">
        <f t="shared" ca="1" si="7"/>
        <v>EXPIRED</v>
      </c>
    </row>
    <row r="177" spans="1:12" x14ac:dyDescent="0.2">
      <c r="A177" s="60" t="s">
        <v>357</v>
      </c>
      <c r="B177" s="60" t="s">
        <v>358</v>
      </c>
      <c r="C177" s="60" t="s">
        <v>247</v>
      </c>
      <c r="D177" s="56" t="s">
        <v>55</v>
      </c>
      <c r="E177" s="60" t="s">
        <v>248</v>
      </c>
      <c r="F177" s="60" t="s">
        <v>260</v>
      </c>
      <c r="G177" s="60" t="s">
        <v>49</v>
      </c>
      <c r="H177" s="60" t="str">
        <f>VLOOKUP($G177,Sheet3!$A$1:$C$6,2,)</f>
        <v>RAFAEL CRUCERO</v>
      </c>
      <c r="I177" s="60" t="str">
        <f>VLOOKUP($G177,Sheet3!$A$1:$C$6,3,)</f>
        <v>LSI HQ PD DIV. PD THD/SOP ASSY DEPT.</v>
      </c>
      <c r="J177" s="57">
        <v>45234</v>
      </c>
      <c r="K177" s="63">
        <f t="shared" ca="1" si="6"/>
        <v>685</v>
      </c>
      <c r="L177" s="64" t="str">
        <f t="shared" ca="1" si="7"/>
        <v>EXPIRED</v>
      </c>
    </row>
    <row r="178" spans="1:12" x14ac:dyDescent="0.2">
      <c r="A178" s="60" t="s">
        <v>197</v>
      </c>
      <c r="B178" s="60" t="s">
        <v>281</v>
      </c>
      <c r="C178" s="60" t="s">
        <v>247</v>
      </c>
      <c r="D178" s="56" t="s">
        <v>55</v>
      </c>
      <c r="E178" s="60" t="s">
        <v>248</v>
      </c>
      <c r="F178" s="60" t="s">
        <v>271</v>
      </c>
      <c r="G178" s="60" t="s">
        <v>49</v>
      </c>
      <c r="H178" s="60" t="str">
        <f>VLOOKUP($G178,Sheet3!$A$1:$C$6,2,)</f>
        <v>RAFAEL CRUCERO</v>
      </c>
      <c r="I178" s="60" t="str">
        <f>VLOOKUP($G178,Sheet3!$A$1:$C$6,3,)</f>
        <v>LSI HQ PD DIV. PD THD/SOP ASSY DEPT.</v>
      </c>
      <c r="J178" s="57">
        <v>45669</v>
      </c>
      <c r="K178" s="63">
        <f t="shared" ca="1" si="6"/>
        <v>250</v>
      </c>
      <c r="L178" s="64" t="str">
        <f t="shared" ca="1" si="7"/>
        <v>UPDATED</v>
      </c>
    </row>
    <row r="179" spans="1:12" x14ac:dyDescent="0.2">
      <c r="A179" s="60" t="s">
        <v>355</v>
      </c>
      <c r="B179" s="60" t="s">
        <v>356</v>
      </c>
      <c r="C179" s="60" t="s">
        <v>247</v>
      </c>
      <c r="D179" s="56" t="s">
        <v>55</v>
      </c>
      <c r="E179" s="60" t="s">
        <v>248</v>
      </c>
      <c r="F179" s="60" t="s">
        <v>260</v>
      </c>
      <c r="G179" s="60" t="s">
        <v>49</v>
      </c>
      <c r="H179" s="60" t="str">
        <f>VLOOKUP($G179,Sheet3!$A$1:$C$6,2,)</f>
        <v>RAFAEL CRUCERO</v>
      </c>
      <c r="I179" s="60" t="str">
        <f>VLOOKUP($G179,Sheet3!$A$1:$C$6,3,)</f>
        <v>LSI HQ PD DIV. PD THD/SOP ASSY DEPT.</v>
      </c>
      <c r="J179" s="57">
        <v>44499</v>
      </c>
      <c r="K179" s="63">
        <f t="shared" ca="1" si="6"/>
        <v>1420</v>
      </c>
      <c r="L179" s="64" t="str">
        <f t="shared" ca="1" si="7"/>
        <v>EXPIRED</v>
      </c>
    </row>
    <row r="180" spans="1:12" x14ac:dyDescent="0.2">
      <c r="A180" s="60" t="s">
        <v>199</v>
      </c>
      <c r="B180" s="60" t="s">
        <v>337</v>
      </c>
      <c r="C180" s="60" t="s">
        <v>247</v>
      </c>
      <c r="D180" s="56" t="s">
        <v>55</v>
      </c>
      <c r="E180" s="60" t="s">
        <v>248</v>
      </c>
      <c r="F180" s="60" t="s">
        <v>255</v>
      </c>
      <c r="G180" s="60" t="s">
        <v>49</v>
      </c>
      <c r="H180" s="60" t="str">
        <f>VLOOKUP($G180,Sheet3!$A$1:$C$6,2,)</f>
        <v>RAFAEL CRUCERO</v>
      </c>
      <c r="I180" s="60" t="str">
        <f>VLOOKUP($G180,Sheet3!$A$1:$C$6,3,)</f>
        <v>LSI HQ PD DIV. PD THD/SOP ASSY DEPT.</v>
      </c>
      <c r="J180" s="57">
        <v>45512</v>
      </c>
      <c r="K180" s="63">
        <f t="shared" ca="1" si="6"/>
        <v>407</v>
      </c>
      <c r="L180" s="64" t="str">
        <f t="shared" ca="1" si="7"/>
        <v>EXPIRED</v>
      </c>
    </row>
    <row r="181" spans="1:12" x14ac:dyDescent="0.2">
      <c r="A181" s="60" t="s">
        <v>200</v>
      </c>
      <c r="B181" s="60" t="s">
        <v>272</v>
      </c>
      <c r="C181" s="60" t="s">
        <v>247</v>
      </c>
      <c r="D181" s="56" t="s">
        <v>55</v>
      </c>
      <c r="E181" s="60" t="s">
        <v>248</v>
      </c>
      <c r="F181" s="60" t="s">
        <v>249</v>
      </c>
      <c r="G181" s="60" t="s">
        <v>49</v>
      </c>
      <c r="H181" s="60" t="str">
        <f>VLOOKUP($G181,Sheet3!$A$1:$C$6,2,)</f>
        <v>RAFAEL CRUCERO</v>
      </c>
      <c r="I181" s="60" t="str">
        <f>VLOOKUP($G181,Sheet3!$A$1:$C$6,3,)</f>
        <v>LSI HQ PD DIV. PD THD/SOP ASSY DEPT.</v>
      </c>
      <c r="J181" s="57">
        <v>45821</v>
      </c>
      <c r="K181" s="63">
        <f t="shared" ca="1" si="6"/>
        <v>98</v>
      </c>
      <c r="L181" s="64" t="str">
        <f t="shared" ca="1" si="7"/>
        <v>UPDATED</v>
      </c>
    </row>
    <row r="182" spans="1:12" x14ac:dyDescent="0.2">
      <c r="A182" s="60" t="s">
        <v>353</v>
      </c>
      <c r="B182" s="60" t="s">
        <v>354</v>
      </c>
      <c r="C182" s="60" t="s">
        <v>247</v>
      </c>
      <c r="D182" s="56" t="s">
        <v>55</v>
      </c>
      <c r="E182" s="60" t="s">
        <v>248</v>
      </c>
      <c r="F182" s="60" t="s">
        <v>252</v>
      </c>
      <c r="G182" s="60" t="s">
        <v>49</v>
      </c>
      <c r="H182" s="60" t="str">
        <f>VLOOKUP($G182,Sheet3!$A$1:$C$6,2,)</f>
        <v>RAFAEL CRUCERO</v>
      </c>
      <c r="I182" s="60" t="str">
        <f>VLOOKUP($G182,Sheet3!$A$1:$C$6,3,)</f>
        <v>LSI HQ PD DIV. PD THD/SOP ASSY DEPT.</v>
      </c>
      <c r="J182" s="57">
        <v>44498</v>
      </c>
      <c r="K182" s="63">
        <f t="shared" ca="1" si="6"/>
        <v>1421</v>
      </c>
      <c r="L182" s="64" t="str">
        <f t="shared" ca="1" si="7"/>
        <v>EXPIRED</v>
      </c>
    </row>
    <row r="183" spans="1:12" x14ac:dyDescent="0.2">
      <c r="A183" s="60" t="s">
        <v>348</v>
      </c>
      <c r="B183" s="60" t="s">
        <v>349</v>
      </c>
      <c r="C183" s="60" t="s">
        <v>247</v>
      </c>
      <c r="D183" s="56" t="s">
        <v>55</v>
      </c>
      <c r="E183" s="60" t="s">
        <v>248</v>
      </c>
      <c r="F183" s="60" t="s">
        <v>255</v>
      </c>
      <c r="G183" s="60" t="s">
        <v>49</v>
      </c>
      <c r="H183" s="60" t="str">
        <f>VLOOKUP($G183,Sheet3!$A$1:$C$6,2,)</f>
        <v>RAFAEL CRUCERO</v>
      </c>
      <c r="I183" s="60" t="str">
        <f>VLOOKUP($G183,Sheet3!$A$1:$C$6,3,)</f>
        <v>LSI HQ PD DIV. PD THD/SOP ASSY DEPT.</v>
      </c>
      <c r="J183" s="57">
        <v>44497</v>
      </c>
      <c r="K183" s="63">
        <f t="shared" ca="1" si="6"/>
        <v>1422</v>
      </c>
      <c r="L183" s="64" t="str">
        <f t="shared" ca="1" si="7"/>
        <v>EXPIRED</v>
      </c>
    </row>
    <row r="184" spans="1:12" x14ac:dyDescent="0.2">
      <c r="A184" s="60" t="s">
        <v>203</v>
      </c>
      <c r="B184" s="60" t="s">
        <v>263</v>
      </c>
      <c r="C184" s="60" t="s">
        <v>247</v>
      </c>
      <c r="D184" s="56" t="s">
        <v>55</v>
      </c>
      <c r="E184" s="60" t="s">
        <v>248</v>
      </c>
      <c r="F184" s="60" t="s">
        <v>260</v>
      </c>
      <c r="G184" s="60" t="s">
        <v>49</v>
      </c>
      <c r="H184" s="60" t="str">
        <f>VLOOKUP($G184,Sheet3!$A$1:$C$6,2,)</f>
        <v>RAFAEL CRUCERO</v>
      </c>
      <c r="I184" s="60" t="str">
        <f>VLOOKUP($G184,Sheet3!$A$1:$C$6,3,)</f>
        <v>LSI HQ PD DIV. PD THD/SOP ASSY DEPT.</v>
      </c>
      <c r="J184" s="57">
        <v>45697</v>
      </c>
      <c r="K184" s="63">
        <f t="shared" ca="1" si="6"/>
        <v>222</v>
      </c>
      <c r="L184" s="64" t="str">
        <f t="shared" ca="1" si="7"/>
        <v>UPDATED</v>
      </c>
    </row>
    <row r="185" spans="1:12" x14ac:dyDescent="0.2">
      <c r="A185" s="60" t="s">
        <v>189</v>
      </c>
      <c r="B185" s="60" t="s">
        <v>347</v>
      </c>
      <c r="C185" s="60" t="s">
        <v>247</v>
      </c>
      <c r="D185" s="56" t="s">
        <v>55</v>
      </c>
      <c r="E185" s="60" t="s">
        <v>248</v>
      </c>
      <c r="F185" s="60" t="s">
        <v>271</v>
      </c>
      <c r="G185" s="60" t="s">
        <v>49</v>
      </c>
      <c r="H185" s="60" t="str">
        <f>VLOOKUP($G185,Sheet3!$A$1:$C$6,2,)</f>
        <v>RAFAEL CRUCERO</v>
      </c>
      <c r="I185" s="60" t="str">
        <f>VLOOKUP($G185,Sheet3!$A$1:$C$6,3,)</f>
        <v>LSI HQ PD DIV. PD THD/SOP ASSY DEPT.</v>
      </c>
      <c r="J185" s="57">
        <v>44495</v>
      </c>
      <c r="K185" s="63">
        <f t="shared" ca="1" si="6"/>
        <v>1424</v>
      </c>
      <c r="L185" s="64" t="str">
        <f t="shared" ref="L185:L194" ca="1" si="8">IF(K185&gt;=365,"EXPIRED","UPDATED")</f>
        <v>EXPIRED</v>
      </c>
    </row>
    <row r="186" spans="1:12" x14ac:dyDescent="0.2">
      <c r="A186" s="60" t="s">
        <v>373</v>
      </c>
      <c r="B186" s="60" t="s">
        <v>374</v>
      </c>
      <c r="C186" s="60" t="s">
        <v>247</v>
      </c>
      <c r="D186" s="56" t="s">
        <v>55</v>
      </c>
      <c r="E186" s="60" t="s">
        <v>248</v>
      </c>
      <c r="F186" s="60" t="s">
        <v>260</v>
      </c>
      <c r="G186" s="60" t="s">
        <v>49</v>
      </c>
      <c r="H186" s="60" t="str">
        <f>VLOOKUP($G186,Sheet3!$A$1:$C$6,2,)</f>
        <v>RAFAEL CRUCERO</v>
      </c>
      <c r="I186" s="60" t="str">
        <f>VLOOKUP($G186,Sheet3!$A$1:$C$6,3,)</f>
        <v>LSI HQ PD DIV. PD THD/SOP ASSY DEPT.</v>
      </c>
      <c r="J186" s="57">
        <v>44493</v>
      </c>
      <c r="K186" s="63">
        <f t="shared" ca="1" si="6"/>
        <v>1426</v>
      </c>
      <c r="L186" s="64" t="str">
        <f t="shared" ca="1" si="8"/>
        <v>EXPIRED</v>
      </c>
    </row>
    <row r="187" spans="1:12" x14ac:dyDescent="0.2">
      <c r="A187" s="60" t="s">
        <v>342</v>
      </c>
      <c r="B187" s="60" t="s">
        <v>343</v>
      </c>
      <c r="C187" s="60" t="s">
        <v>247</v>
      </c>
      <c r="D187" s="56" t="s">
        <v>55</v>
      </c>
      <c r="E187" s="60" t="s">
        <v>248</v>
      </c>
      <c r="F187" s="60" t="s">
        <v>252</v>
      </c>
      <c r="G187" s="60" t="s">
        <v>49</v>
      </c>
      <c r="H187" s="60" t="str">
        <f>VLOOKUP($G187,Sheet3!$A$1:$C$6,2,)</f>
        <v>RAFAEL CRUCERO</v>
      </c>
      <c r="I187" s="60" t="str">
        <f>VLOOKUP($G187,Sheet3!$A$1:$C$6,3,)</f>
        <v>LSI HQ PD DIV. PD THD/SOP ASSY DEPT.</v>
      </c>
      <c r="J187" s="57">
        <v>44474</v>
      </c>
      <c r="K187" s="63">
        <f t="shared" ca="1" si="6"/>
        <v>1445</v>
      </c>
      <c r="L187" s="64" t="str">
        <f t="shared" ca="1" si="8"/>
        <v>EXPIRED</v>
      </c>
    </row>
    <row r="188" spans="1:12" x14ac:dyDescent="0.2">
      <c r="A188" s="60" t="s">
        <v>178</v>
      </c>
      <c r="B188" s="60" t="s">
        <v>341</v>
      </c>
      <c r="C188" s="60" t="s">
        <v>247</v>
      </c>
      <c r="D188" s="56" t="s">
        <v>55</v>
      </c>
      <c r="E188" s="60" t="s">
        <v>248</v>
      </c>
      <c r="F188" s="60" t="s">
        <v>262</v>
      </c>
      <c r="G188" s="60" t="s">
        <v>49</v>
      </c>
      <c r="H188" s="60" t="str">
        <f>VLOOKUP($G188,Sheet3!$A$1:$C$6,2,)</f>
        <v>RAFAEL CRUCERO</v>
      </c>
      <c r="I188" s="60" t="str">
        <f>VLOOKUP($G188,Sheet3!$A$1:$C$6,3,)</f>
        <v>LSI HQ PD DIV. PD THD/SOP ASSY DEPT.</v>
      </c>
      <c r="J188" s="57">
        <v>44472</v>
      </c>
      <c r="K188" s="63">
        <f t="shared" ca="1" si="6"/>
        <v>1447</v>
      </c>
      <c r="L188" s="64" t="str">
        <f t="shared" ca="1" si="8"/>
        <v>EXPIRED</v>
      </c>
    </row>
    <row r="189" spans="1:12" x14ac:dyDescent="0.2">
      <c r="A189" s="60" t="s">
        <v>208</v>
      </c>
      <c r="B189" s="60" t="s">
        <v>298</v>
      </c>
      <c r="C189" s="60" t="s">
        <v>247</v>
      </c>
      <c r="D189" s="56" t="s">
        <v>55</v>
      </c>
      <c r="E189" s="60" t="s">
        <v>248</v>
      </c>
      <c r="F189" s="60" t="s">
        <v>260</v>
      </c>
      <c r="G189" s="60" t="s">
        <v>49</v>
      </c>
      <c r="H189" s="60" t="str">
        <f>VLOOKUP($G189,Sheet3!$A$1:$C$6,2,)</f>
        <v>RAFAEL CRUCERO</v>
      </c>
      <c r="I189" s="60" t="str">
        <f>VLOOKUP($G189,Sheet3!$A$1:$C$6,3,)</f>
        <v>LSI HQ PD DIV. PD THD/SOP ASSY DEPT.</v>
      </c>
      <c r="J189" s="57">
        <v>45714</v>
      </c>
      <c r="K189" s="63">
        <f t="shared" ca="1" si="6"/>
        <v>205</v>
      </c>
      <c r="L189" s="64" t="str">
        <f t="shared" ca="1" si="8"/>
        <v>UPDATED</v>
      </c>
    </row>
    <row r="190" spans="1:12" x14ac:dyDescent="0.2">
      <c r="A190" s="60" t="s">
        <v>209</v>
      </c>
      <c r="B190" s="60" t="s">
        <v>282</v>
      </c>
      <c r="C190" s="60" t="s">
        <v>247</v>
      </c>
      <c r="D190" s="56" t="s">
        <v>55</v>
      </c>
      <c r="E190" s="60" t="s">
        <v>248</v>
      </c>
      <c r="F190" s="60" t="s">
        <v>255</v>
      </c>
      <c r="G190" s="60" t="s">
        <v>49</v>
      </c>
      <c r="H190" s="60" t="str">
        <f>VLOOKUP($G190,Sheet3!$A$1:$C$6,2,)</f>
        <v>RAFAEL CRUCERO</v>
      </c>
      <c r="I190" s="60" t="str">
        <f>VLOOKUP($G190,Sheet3!$A$1:$C$6,3,)</f>
        <v>LSI HQ PD DIV. PD THD/SOP ASSY DEPT.</v>
      </c>
      <c r="J190" s="57">
        <v>45669</v>
      </c>
      <c r="K190" s="63">
        <f t="shared" ca="1" si="6"/>
        <v>250</v>
      </c>
      <c r="L190" s="64" t="str">
        <f t="shared" ca="1" si="8"/>
        <v>UPDATED</v>
      </c>
    </row>
    <row r="191" spans="1:12" x14ac:dyDescent="0.2">
      <c r="A191" s="60" t="s">
        <v>202</v>
      </c>
      <c r="B191" s="60" t="s">
        <v>340</v>
      </c>
      <c r="C191" s="60" t="s">
        <v>247</v>
      </c>
      <c r="D191" s="56" t="s">
        <v>55</v>
      </c>
      <c r="E191" s="60" t="s">
        <v>248</v>
      </c>
      <c r="F191" s="60" t="s">
        <v>255</v>
      </c>
      <c r="G191" s="60" t="s">
        <v>49</v>
      </c>
      <c r="H191" s="60" t="str">
        <f>VLOOKUP($G191,Sheet3!$A$1:$C$6,2,)</f>
        <v>RAFAEL CRUCERO</v>
      </c>
      <c r="I191" s="60" t="str">
        <f>VLOOKUP($G191,Sheet3!$A$1:$C$6,3,)</f>
        <v>LSI HQ PD DIV. PD THD/SOP ASSY DEPT.</v>
      </c>
      <c r="J191" s="57">
        <v>44471</v>
      </c>
      <c r="K191" s="63">
        <f t="shared" ca="1" si="6"/>
        <v>1448</v>
      </c>
      <c r="L191" s="64" t="str">
        <f t="shared" ca="1" si="8"/>
        <v>EXPIRED</v>
      </c>
    </row>
    <row r="192" spans="1:12" x14ac:dyDescent="0.2">
      <c r="A192" s="60" t="s">
        <v>211</v>
      </c>
      <c r="B192" s="60" t="s">
        <v>350</v>
      </c>
      <c r="C192" s="60" t="s">
        <v>247</v>
      </c>
      <c r="D192" s="56" t="s">
        <v>55</v>
      </c>
      <c r="E192" s="60" t="s">
        <v>248</v>
      </c>
      <c r="F192" s="60" t="s">
        <v>262</v>
      </c>
      <c r="G192" s="60" t="s">
        <v>49</v>
      </c>
      <c r="H192" s="60" t="str">
        <f>VLOOKUP($G192,Sheet3!$A$1:$C$6,2,)</f>
        <v>RAFAEL CRUCERO</v>
      </c>
      <c r="I192" s="60" t="str">
        <f>VLOOKUP($G192,Sheet3!$A$1:$C$6,3,)</f>
        <v>LSI HQ PD DIV. PD THD/SOP ASSY DEPT.</v>
      </c>
      <c r="J192" s="57">
        <v>45599</v>
      </c>
      <c r="K192" s="63">
        <f t="shared" ca="1" si="6"/>
        <v>320</v>
      </c>
      <c r="L192" s="64" t="str">
        <f t="shared" ca="1" si="8"/>
        <v>UPDATED</v>
      </c>
    </row>
    <row r="193" spans="1:12" x14ac:dyDescent="0.2">
      <c r="A193" s="60" t="s">
        <v>212</v>
      </c>
      <c r="B193" s="60" t="s">
        <v>251</v>
      </c>
      <c r="C193" s="60" t="s">
        <v>247</v>
      </c>
      <c r="D193" s="56" t="s">
        <v>55</v>
      </c>
      <c r="E193" s="60" t="s">
        <v>248</v>
      </c>
      <c r="F193" s="60" t="s">
        <v>252</v>
      </c>
      <c r="G193" s="60" t="s">
        <v>49</v>
      </c>
      <c r="H193" s="60" t="str">
        <f>VLOOKUP($G193,Sheet3!$A$1:$C$6,2,)</f>
        <v>RAFAEL CRUCERO</v>
      </c>
      <c r="I193" s="60" t="str">
        <f>VLOOKUP($G193,Sheet3!$A$1:$C$6,3,)</f>
        <v>LSI HQ PD DIV. PD THD/SOP ASSY DEPT.</v>
      </c>
      <c r="J193" s="57">
        <v>45631</v>
      </c>
      <c r="K193" s="63">
        <f t="shared" ca="1" si="6"/>
        <v>288</v>
      </c>
      <c r="L193" s="64" t="str">
        <f t="shared" ca="1" si="8"/>
        <v>UPDATED</v>
      </c>
    </row>
    <row r="194" spans="1:12" x14ac:dyDescent="0.2">
      <c r="A194" s="60" t="s">
        <v>177</v>
      </c>
      <c r="B194" s="60" t="s">
        <v>339</v>
      </c>
      <c r="C194" s="60" t="s">
        <v>247</v>
      </c>
      <c r="D194" s="56" t="s">
        <v>55</v>
      </c>
      <c r="E194" s="60" t="s">
        <v>248</v>
      </c>
      <c r="F194" s="60" t="s">
        <v>255</v>
      </c>
      <c r="G194" s="60" t="s">
        <v>49</v>
      </c>
      <c r="H194" s="60" t="str">
        <f>VLOOKUP($G194,Sheet3!$A$1:$C$6,2,)</f>
        <v>RAFAEL CRUCERO</v>
      </c>
      <c r="I194" s="60" t="str">
        <f>VLOOKUP($G194,Sheet3!$A$1:$C$6,3,)</f>
        <v>LSI HQ PD DIV. PD THD/SOP ASSY DEPT.</v>
      </c>
      <c r="J194" s="57">
        <v>44470</v>
      </c>
      <c r="K194" s="63">
        <f t="shared" ref="K194:K246" ca="1" si="9">ABS(J194-TODAY())</f>
        <v>1449</v>
      </c>
      <c r="L194" s="64" t="str">
        <f t="shared" ca="1" si="8"/>
        <v>EXPIRED</v>
      </c>
    </row>
    <row r="195" spans="1:12" x14ac:dyDescent="0.2">
      <c r="A195" s="60" t="s">
        <v>214</v>
      </c>
      <c r="B195" s="60" t="s">
        <v>280</v>
      </c>
      <c r="C195" s="60" t="s">
        <v>247</v>
      </c>
      <c r="D195" s="56" t="s">
        <v>55</v>
      </c>
      <c r="E195" s="60" t="s">
        <v>248</v>
      </c>
      <c r="F195" s="60" t="s">
        <v>271</v>
      </c>
      <c r="G195" s="60" t="s">
        <v>49</v>
      </c>
      <c r="H195" s="60" t="str">
        <f>VLOOKUP($G195,Sheet3!$A$1:$C$6,2,)</f>
        <v>RAFAEL CRUCERO</v>
      </c>
      <c r="I195" s="60" t="str">
        <f>VLOOKUP($G195,Sheet3!$A$1:$C$6,3,)</f>
        <v>LSI HQ PD DIV. PD THD/SOP ASSY DEPT.</v>
      </c>
      <c r="J195" s="57">
        <v>45662</v>
      </c>
      <c r="K195" s="63">
        <f t="shared" ca="1" si="9"/>
        <v>257</v>
      </c>
      <c r="L195" s="64" t="str">
        <f t="shared" ref="L195:L216" ca="1" si="10">IF(K195&gt;=365,"EXPIRED","UPDATED")</f>
        <v>UPDATED</v>
      </c>
    </row>
    <row r="196" spans="1:12" x14ac:dyDescent="0.2">
      <c r="A196" s="60" t="s">
        <v>108</v>
      </c>
      <c r="B196" s="60" t="s">
        <v>394</v>
      </c>
      <c r="C196" s="60" t="s">
        <v>247</v>
      </c>
      <c r="D196" s="56" t="s">
        <v>52</v>
      </c>
      <c r="E196" s="60" t="s">
        <v>248</v>
      </c>
      <c r="F196" s="60" t="s">
        <v>260</v>
      </c>
      <c r="G196" s="60" t="s">
        <v>49</v>
      </c>
      <c r="H196" s="60" t="str">
        <f>VLOOKUP($G196,Sheet3!$A$1:$C$6,2,)</f>
        <v>RAFAEL CRUCERO</v>
      </c>
      <c r="I196" s="60" t="str">
        <f>VLOOKUP($G196,Sheet3!$A$1:$C$6,3,)</f>
        <v>LSI HQ PD DIV. PD THD/SOP ASSY DEPT.</v>
      </c>
      <c r="J196" s="57">
        <v>45391</v>
      </c>
      <c r="K196" s="63">
        <f t="shared" ca="1" si="9"/>
        <v>528</v>
      </c>
      <c r="L196" s="64" t="str">
        <f t="shared" ca="1" si="10"/>
        <v>EXPIRED</v>
      </c>
    </row>
    <row r="197" spans="1:12" x14ac:dyDescent="0.2">
      <c r="A197" s="60" t="s">
        <v>216</v>
      </c>
      <c r="B197" s="60" t="s">
        <v>300</v>
      </c>
      <c r="C197" s="60" t="s">
        <v>247</v>
      </c>
      <c r="D197" s="56" t="s">
        <v>55</v>
      </c>
      <c r="E197" s="60" t="s">
        <v>248</v>
      </c>
      <c r="F197" s="60" t="s">
        <v>260</v>
      </c>
      <c r="G197" s="60" t="s">
        <v>49</v>
      </c>
      <c r="H197" s="60" t="str">
        <f>VLOOKUP($G197,Sheet3!$A$1:$C$6,2,)</f>
        <v>RAFAEL CRUCERO</v>
      </c>
      <c r="I197" s="60" t="str">
        <f>VLOOKUP($G197,Sheet3!$A$1:$C$6,3,)</f>
        <v>LSI HQ PD DIV. PD THD/SOP ASSY DEPT.</v>
      </c>
      <c r="J197" s="57">
        <v>45715</v>
      </c>
      <c r="K197" s="63">
        <f t="shared" ca="1" si="9"/>
        <v>204</v>
      </c>
      <c r="L197" s="64" t="str">
        <f t="shared" ca="1" si="10"/>
        <v>UPDATED</v>
      </c>
    </row>
    <row r="198" spans="1:12" x14ac:dyDescent="0.2">
      <c r="A198" s="60" t="s">
        <v>217</v>
      </c>
      <c r="B198" s="60" t="s">
        <v>346</v>
      </c>
      <c r="C198" s="60" t="s">
        <v>247</v>
      </c>
      <c r="D198" s="56" t="s">
        <v>55</v>
      </c>
      <c r="E198" s="60" t="s">
        <v>248</v>
      </c>
      <c r="F198" s="60" t="s">
        <v>252</v>
      </c>
      <c r="G198" s="60" t="s">
        <v>49</v>
      </c>
      <c r="H198" s="60" t="str">
        <f>VLOOKUP($G198,Sheet3!$A$1:$C$6,2,)</f>
        <v>RAFAEL CRUCERO</v>
      </c>
      <c r="I198" s="60" t="str">
        <f>VLOOKUP($G198,Sheet3!$A$1:$C$6,3,)</f>
        <v>LSI HQ PD DIV. PD THD/SOP ASSY DEPT.</v>
      </c>
      <c r="J198" s="57">
        <v>45572</v>
      </c>
      <c r="K198" s="63">
        <f t="shared" ca="1" si="9"/>
        <v>347</v>
      </c>
      <c r="L198" s="64" t="str">
        <f t="shared" ca="1" si="10"/>
        <v>UPDATED</v>
      </c>
    </row>
    <row r="199" spans="1:12" x14ac:dyDescent="0.2">
      <c r="A199" s="60" t="s">
        <v>109</v>
      </c>
      <c r="B199" s="60" t="s">
        <v>393</v>
      </c>
      <c r="C199" s="60" t="s">
        <v>247</v>
      </c>
      <c r="D199" s="56" t="s">
        <v>52</v>
      </c>
      <c r="E199" s="60" t="s">
        <v>248</v>
      </c>
      <c r="F199" s="60" t="s">
        <v>262</v>
      </c>
      <c r="G199" s="60" t="s">
        <v>49</v>
      </c>
      <c r="H199" s="60" t="str">
        <f>VLOOKUP($G199,Sheet3!$A$1:$C$6,2,)</f>
        <v>RAFAEL CRUCERO</v>
      </c>
      <c r="I199" s="60" t="str">
        <f>VLOOKUP($G199,Sheet3!$A$1:$C$6,3,)</f>
        <v>LSI HQ PD DIV. PD THD/SOP ASSY DEPT.</v>
      </c>
      <c r="J199" s="57">
        <v>45356</v>
      </c>
      <c r="K199" s="63">
        <f t="shared" ca="1" si="9"/>
        <v>563</v>
      </c>
      <c r="L199" s="64" t="str">
        <f t="shared" ca="1" si="10"/>
        <v>EXPIRED</v>
      </c>
    </row>
    <row r="200" spans="1:12" x14ac:dyDescent="0.2">
      <c r="A200" s="60" t="s">
        <v>219</v>
      </c>
      <c r="B200" s="60" t="s">
        <v>344</v>
      </c>
      <c r="C200" s="60" t="s">
        <v>247</v>
      </c>
      <c r="D200" s="56" t="s">
        <v>55</v>
      </c>
      <c r="E200" s="60" t="s">
        <v>248</v>
      </c>
      <c r="F200" s="60" t="s">
        <v>260</v>
      </c>
      <c r="G200" s="60" t="s">
        <v>49</v>
      </c>
      <c r="H200" s="60" t="str">
        <f>VLOOKUP($G200,Sheet3!$A$1:$C$6,2,)</f>
        <v>RAFAEL CRUCERO</v>
      </c>
      <c r="I200" s="60" t="str">
        <f>VLOOKUP($G200,Sheet3!$A$1:$C$6,3,)</f>
        <v>LSI HQ PD DIV. PD THD/SOP ASSY DEPT.</v>
      </c>
      <c r="J200" s="57">
        <v>45569</v>
      </c>
      <c r="K200" s="63">
        <f t="shared" ca="1" si="9"/>
        <v>350</v>
      </c>
      <c r="L200" s="64" t="str">
        <f t="shared" ca="1" si="10"/>
        <v>UPDATED</v>
      </c>
    </row>
    <row r="201" spans="1:12" x14ac:dyDescent="0.2">
      <c r="A201" s="60" t="s">
        <v>220</v>
      </c>
      <c r="B201" s="60" t="s">
        <v>261</v>
      </c>
      <c r="C201" s="60" t="s">
        <v>247</v>
      </c>
      <c r="D201" s="56" t="s">
        <v>55</v>
      </c>
      <c r="E201" s="60" t="s">
        <v>248</v>
      </c>
      <c r="F201" s="60" t="s">
        <v>262</v>
      </c>
      <c r="G201" s="60" t="s">
        <v>49</v>
      </c>
      <c r="H201" s="60" t="str">
        <f>VLOOKUP($G201,Sheet3!$A$1:$C$6,2,)</f>
        <v>RAFAEL CRUCERO</v>
      </c>
      <c r="I201" s="60" t="str">
        <f>VLOOKUP($G201,Sheet3!$A$1:$C$6,3,)</f>
        <v>LSI HQ PD DIV. PD THD/SOP ASSY DEPT.</v>
      </c>
      <c r="J201" s="57">
        <v>45682</v>
      </c>
      <c r="K201" s="63">
        <f t="shared" ca="1" si="9"/>
        <v>237</v>
      </c>
      <c r="L201" s="64" t="str">
        <f t="shared" ca="1" si="10"/>
        <v>UPDATED</v>
      </c>
    </row>
    <row r="202" spans="1:12" x14ac:dyDescent="0.2">
      <c r="A202" s="60" t="s">
        <v>221</v>
      </c>
      <c r="B202" s="60" t="s">
        <v>295</v>
      </c>
      <c r="C202" s="60" t="s">
        <v>247</v>
      </c>
      <c r="D202" s="56" t="s">
        <v>55</v>
      </c>
      <c r="E202" s="60" t="s">
        <v>248</v>
      </c>
      <c r="F202" s="60" t="s">
        <v>255</v>
      </c>
      <c r="G202" s="60" t="s">
        <v>49</v>
      </c>
      <c r="H202" s="60" t="str">
        <f>VLOOKUP($G202,Sheet3!$A$1:$C$6,2,)</f>
        <v>RAFAEL CRUCERO</v>
      </c>
      <c r="I202" s="60" t="str">
        <f>VLOOKUP($G202,Sheet3!$A$1:$C$6,3,)</f>
        <v>LSI HQ PD DIV. PD THD/SOP ASSY DEPT.</v>
      </c>
      <c r="J202" s="57">
        <v>45698</v>
      </c>
      <c r="K202" s="63">
        <f t="shared" ca="1" si="9"/>
        <v>221</v>
      </c>
      <c r="L202" s="64" t="str">
        <f t="shared" ca="1" si="10"/>
        <v>UPDATED</v>
      </c>
    </row>
    <row r="203" spans="1:12" x14ac:dyDescent="0.2">
      <c r="A203" s="60" t="s">
        <v>110</v>
      </c>
      <c r="B203" s="60" t="s">
        <v>375</v>
      </c>
      <c r="C203" s="60" t="s">
        <v>247</v>
      </c>
      <c r="D203" s="56" t="s">
        <v>52</v>
      </c>
      <c r="E203" s="60" t="s">
        <v>248</v>
      </c>
      <c r="F203" s="60" t="s">
        <v>260</v>
      </c>
      <c r="G203" s="60" t="s">
        <v>49</v>
      </c>
      <c r="H203" s="60" t="str">
        <f>VLOOKUP($G203,Sheet3!$A$1:$C$6,2,)</f>
        <v>RAFAEL CRUCERO</v>
      </c>
      <c r="I203" s="60" t="str">
        <f>VLOOKUP($G203,Sheet3!$A$1:$C$6,3,)</f>
        <v>LSI HQ PD DIV. PD THD/SOP ASSY DEPT.</v>
      </c>
      <c r="J203" s="57">
        <v>45283</v>
      </c>
      <c r="K203" s="63">
        <f t="shared" ca="1" si="9"/>
        <v>636</v>
      </c>
      <c r="L203" s="64" t="str">
        <f t="shared" ca="1" si="10"/>
        <v>EXPIRED</v>
      </c>
    </row>
    <row r="204" spans="1:12" x14ac:dyDescent="0.2">
      <c r="A204" s="60" t="s">
        <v>113</v>
      </c>
      <c r="B204" s="60" t="s">
        <v>418</v>
      </c>
      <c r="C204" s="60" t="s">
        <v>247</v>
      </c>
      <c r="D204" s="56" t="s">
        <v>52</v>
      </c>
      <c r="E204" s="60" t="s">
        <v>248</v>
      </c>
      <c r="F204" s="60" t="s">
        <v>260</v>
      </c>
      <c r="G204" s="60" t="s">
        <v>49</v>
      </c>
      <c r="H204" s="60" t="str">
        <f>VLOOKUP($G204,Sheet3!$A$1:$C$6,2,)</f>
        <v>RAFAEL CRUCERO</v>
      </c>
      <c r="I204" s="60" t="str">
        <f>VLOOKUP($G204,Sheet3!$A$1:$C$6,3,)</f>
        <v>LSI HQ PD DIV. PD THD/SOP ASSY DEPT.</v>
      </c>
      <c r="J204" s="57">
        <v>45355</v>
      </c>
      <c r="K204" s="63">
        <f t="shared" ca="1" si="9"/>
        <v>564</v>
      </c>
      <c r="L204" s="64" t="str">
        <f t="shared" ca="1" si="10"/>
        <v>EXPIRED</v>
      </c>
    </row>
    <row r="205" spans="1:12" x14ac:dyDescent="0.2">
      <c r="A205" s="60" t="s">
        <v>224</v>
      </c>
      <c r="B205" s="60" t="s">
        <v>330</v>
      </c>
      <c r="C205" s="60" t="s">
        <v>247</v>
      </c>
      <c r="D205" s="56" t="s">
        <v>55</v>
      </c>
      <c r="E205" s="60" t="s">
        <v>248</v>
      </c>
      <c r="F205" s="60" t="s">
        <v>260</v>
      </c>
      <c r="G205" s="60" t="s">
        <v>49</v>
      </c>
      <c r="H205" s="60" t="str">
        <f>VLOOKUP($G205,Sheet3!$A$1:$C$6,2,)</f>
        <v>RAFAEL CRUCERO</v>
      </c>
      <c r="I205" s="60" t="str">
        <f>VLOOKUP($G205,Sheet3!$A$1:$C$6,3,)</f>
        <v>LSI HQ PD DIV. PD THD/SOP ASSY DEPT.</v>
      </c>
      <c r="J205" s="57">
        <v>45870</v>
      </c>
      <c r="K205" s="63">
        <f t="shared" ca="1" si="9"/>
        <v>49</v>
      </c>
      <c r="L205" s="64" t="str">
        <f t="shared" ca="1" si="10"/>
        <v>UPDATED</v>
      </c>
    </row>
    <row r="206" spans="1:12" x14ac:dyDescent="0.2">
      <c r="A206" s="60" t="s">
        <v>225</v>
      </c>
      <c r="B206" s="60" t="s">
        <v>338</v>
      </c>
      <c r="C206" s="60" t="s">
        <v>247</v>
      </c>
      <c r="D206" s="56" t="s">
        <v>55</v>
      </c>
      <c r="E206" s="60" t="s">
        <v>248</v>
      </c>
      <c r="F206" s="60" t="s">
        <v>271</v>
      </c>
      <c r="G206" s="60" t="s">
        <v>49</v>
      </c>
      <c r="H206" s="60" t="str">
        <f>VLOOKUP($G206,Sheet3!$A$1:$C$6,2,)</f>
        <v>RAFAEL CRUCERO</v>
      </c>
      <c r="I206" s="60" t="str">
        <f>VLOOKUP($G206,Sheet3!$A$1:$C$6,3,)</f>
        <v>LSI HQ PD DIV. PD THD/SOP ASSY DEPT.</v>
      </c>
      <c r="J206" s="57">
        <v>45548</v>
      </c>
      <c r="K206" s="63">
        <f t="shared" ca="1" si="9"/>
        <v>371</v>
      </c>
      <c r="L206" s="64" t="str">
        <f t="shared" ca="1" si="10"/>
        <v>EXPIRED</v>
      </c>
    </row>
    <row r="207" spans="1:12" x14ac:dyDescent="0.2">
      <c r="A207" s="60" t="s">
        <v>117</v>
      </c>
      <c r="B207" s="60" t="s">
        <v>420</v>
      </c>
      <c r="C207" s="60" t="s">
        <v>247</v>
      </c>
      <c r="D207" s="56" t="s">
        <v>52</v>
      </c>
      <c r="E207" s="60" t="s">
        <v>248</v>
      </c>
      <c r="F207" s="60" t="s">
        <v>262</v>
      </c>
      <c r="G207" s="60" t="s">
        <v>49</v>
      </c>
      <c r="H207" s="60" t="str">
        <f>VLOOKUP($G207,Sheet3!$A$1:$C$6,2,)</f>
        <v>RAFAEL CRUCERO</v>
      </c>
      <c r="I207" s="60" t="str">
        <f>VLOOKUP($G207,Sheet3!$A$1:$C$6,3,)</f>
        <v>LSI HQ PD DIV. PD THD/SOP ASSY DEPT.</v>
      </c>
      <c r="J207" s="57">
        <v>45415</v>
      </c>
      <c r="K207" s="63">
        <f t="shared" ca="1" si="9"/>
        <v>504</v>
      </c>
      <c r="L207" s="64" t="str">
        <f t="shared" ca="1" si="10"/>
        <v>EXPIRED</v>
      </c>
    </row>
    <row r="208" spans="1:12" x14ac:dyDescent="0.2">
      <c r="A208" s="60" t="s">
        <v>119</v>
      </c>
      <c r="B208" s="60" t="s">
        <v>396</v>
      </c>
      <c r="C208" s="60" t="s">
        <v>247</v>
      </c>
      <c r="D208" s="56" t="s">
        <v>52</v>
      </c>
      <c r="E208" s="60" t="s">
        <v>248</v>
      </c>
      <c r="F208" s="60" t="s">
        <v>255</v>
      </c>
      <c r="G208" s="60" t="s">
        <v>49</v>
      </c>
      <c r="H208" s="60" t="str">
        <f>VLOOKUP($G208,Sheet3!$A$1:$C$6,2,)</f>
        <v>RAFAEL CRUCERO</v>
      </c>
      <c r="I208" s="60" t="str">
        <f>VLOOKUP($G208,Sheet3!$A$1:$C$6,3,)</f>
        <v>LSI HQ PD DIV. PD THD/SOP ASSY DEPT.</v>
      </c>
      <c r="J208" s="57">
        <v>45454</v>
      </c>
      <c r="K208" s="63">
        <f t="shared" ca="1" si="9"/>
        <v>465</v>
      </c>
      <c r="L208" s="64" t="str">
        <f t="shared" ca="1" si="10"/>
        <v>EXPIRED</v>
      </c>
    </row>
    <row r="209" spans="1:12" x14ac:dyDescent="0.2">
      <c r="A209" s="60" t="s">
        <v>120</v>
      </c>
      <c r="B209" s="60" t="s">
        <v>407</v>
      </c>
      <c r="C209" s="60" t="s">
        <v>247</v>
      </c>
      <c r="D209" s="56" t="s">
        <v>52</v>
      </c>
      <c r="E209" s="60" t="s">
        <v>248</v>
      </c>
      <c r="F209" s="60" t="s">
        <v>255</v>
      </c>
      <c r="G209" s="60" t="s">
        <v>49</v>
      </c>
      <c r="H209" s="60" t="str">
        <f>VLOOKUP($G209,Sheet3!$A$1:$C$6,2,)</f>
        <v>RAFAEL CRUCERO</v>
      </c>
      <c r="I209" s="60" t="str">
        <f>VLOOKUP($G209,Sheet3!$A$1:$C$6,3,)</f>
        <v>LSI HQ PD DIV. PD THD/SOP ASSY DEPT.</v>
      </c>
      <c r="J209" s="57">
        <v>45255</v>
      </c>
      <c r="K209" s="63">
        <f t="shared" ca="1" si="9"/>
        <v>664</v>
      </c>
      <c r="L209" s="64" t="str">
        <f t="shared" ca="1" si="10"/>
        <v>EXPIRED</v>
      </c>
    </row>
    <row r="210" spans="1:12" x14ac:dyDescent="0.2">
      <c r="A210" s="60" t="s">
        <v>121</v>
      </c>
      <c r="B210" s="60" t="s">
        <v>417</v>
      </c>
      <c r="C210" s="60" t="s">
        <v>247</v>
      </c>
      <c r="D210" s="56" t="s">
        <v>52</v>
      </c>
      <c r="E210" s="60" t="s">
        <v>248</v>
      </c>
      <c r="F210" s="60" t="s">
        <v>260</v>
      </c>
      <c r="G210" s="60" t="s">
        <v>49</v>
      </c>
      <c r="H210" s="60" t="str">
        <f>VLOOKUP($G210,Sheet3!$A$1:$C$6,2,)</f>
        <v>RAFAEL CRUCERO</v>
      </c>
      <c r="I210" s="60" t="str">
        <f>VLOOKUP($G210,Sheet3!$A$1:$C$6,3,)</f>
        <v>LSI HQ PD DIV. PD THD/SOP ASSY DEPT.</v>
      </c>
      <c r="J210" s="57">
        <v>45307</v>
      </c>
      <c r="K210" s="63">
        <f t="shared" ca="1" si="9"/>
        <v>612</v>
      </c>
      <c r="L210" s="64" t="str">
        <f t="shared" ca="1" si="10"/>
        <v>EXPIRED</v>
      </c>
    </row>
    <row r="211" spans="1:12" x14ac:dyDescent="0.2">
      <c r="A211" s="60" t="s">
        <v>230</v>
      </c>
      <c r="B211" s="60" t="s">
        <v>494</v>
      </c>
      <c r="C211" s="60" t="s">
        <v>247</v>
      </c>
      <c r="D211" s="56" t="s">
        <v>55</v>
      </c>
      <c r="E211" s="60" t="s">
        <v>248</v>
      </c>
      <c r="F211" s="60" t="s">
        <v>262</v>
      </c>
      <c r="G211" s="60" t="s">
        <v>49</v>
      </c>
      <c r="H211" s="60" t="str">
        <f>VLOOKUP($G211,Sheet3!$A$1:$C$6,2,)</f>
        <v>RAFAEL CRUCERO</v>
      </c>
      <c r="I211" s="60" t="str">
        <f>VLOOKUP($G211,Sheet3!$A$1:$C$6,3,)</f>
        <v>LSI HQ PD DIV. PD THD/SOP ASSY DEPT.</v>
      </c>
      <c r="J211" s="57">
        <v>45783</v>
      </c>
      <c r="K211" s="63">
        <f t="shared" ca="1" si="9"/>
        <v>136</v>
      </c>
      <c r="L211" s="64" t="str">
        <f t="shared" ca="1" si="10"/>
        <v>UPDATED</v>
      </c>
    </row>
    <row r="212" spans="1:12" x14ac:dyDescent="0.2">
      <c r="A212" s="60" t="s">
        <v>231</v>
      </c>
      <c r="B212" s="60" t="s">
        <v>294</v>
      </c>
      <c r="C212" s="60" t="s">
        <v>247</v>
      </c>
      <c r="D212" s="56" t="s">
        <v>55</v>
      </c>
      <c r="E212" s="60" t="s">
        <v>248</v>
      </c>
      <c r="F212" s="60" t="s">
        <v>255</v>
      </c>
      <c r="G212" s="60" t="s">
        <v>49</v>
      </c>
      <c r="H212" s="60" t="str">
        <f>VLOOKUP($G212,Sheet3!$A$1:$C$6,2,)</f>
        <v>RAFAEL CRUCERO</v>
      </c>
      <c r="I212" s="60" t="str">
        <f>VLOOKUP($G212,Sheet3!$A$1:$C$6,3,)</f>
        <v>LSI HQ PD DIV. PD THD/SOP ASSY DEPT.</v>
      </c>
      <c r="J212" s="57">
        <v>45693</v>
      </c>
      <c r="K212" s="63">
        <f t="shared" ca="1" si="9"/>
        <v>226</v>
      </c>
      <c r="L212" s="64" t="str">
        <f t="shared" ca="1" si="10"/>
        <v>UPDATED</v>
      </c>
    </row>
    <row r="213" spans="1:12" x14ac:dyDescent="0.2">
      <c r="A213" s="60" t="s">
        <v>125</v>
      </c>
      <c r="B213" s="60" t="s">
        <v>376</v>
      </c>
      <c r="C213" s="60" t="s">
        <v>247</v>
      </c>
      <c r="D213" s="56" t="s">
        <v>52</v>
      </c>
      <c r="E213" s="60" t="s">
        <v>248</v>
      </c>
      <c r="F213" s="60">
        <v>0</v>
      </c>
      <c r="G213" s="60" t="s">
        <v>49</v>
      </c>
      <c r="H213" s="60" t="str">
        <f>VLOOKUP($G213,Sheet3!$A$1:$C$6,2,)</f>
        <v>RAFAEL CRUCERO</v>
      </c>
      <c r="I213" s="60" t="str">
        <f>VLOOKUP($G213,Sheet3!$A$1:$C$6,3,)</f>
        <v>LSI HQ PD DIV. PD THD/SOP ASSY DEPT.</v>
      </c>
      <c r="J213" s="57">
        <v>0</v>
      </c>
      <c r="K213" s="63">
        <f t="shared" ca="1" si="9"/>
        <v>45919</v>
      </c>
      <c r="L213" s="64" t="str">
        <f t="shared" ca="1" si="10"/>
        <v>EXPIRED</v>
      </c>
    </row>
    <row r="214" spans="1:12" x14ac:dyDescent="0.2">
      <c r="A214" s="60" t="s">
        <v>233</v>
      </c>
      <c r="B214" s="60" t="s">
        <v>453</v>
      </c>
      <c r="C214" s="60" t="s">
        <v>247</v>
      </c>
      <c r="D214" s="56" t="s">
        <v>56</v>
      </c>
      <c r="E214" s="60" t="s">
        <v>248</v>
      </c>
      <c r="F214" s="60" t="s">
        <v>262</v>
      </c>
      <c r="G214" s="60" t="s">
        <v>49</v>
      </c>
      <c r="H214" s="60" t="str">
        <f>VLOOKUP($G214,Sheet3!$A$1:$C$6,2,)</f>
        <v>RAFAEL CRUCERO</v>
      </c>
      <c r="I214" s="60" t="str">
        <f>VLOOKUP($G214,Sheet3!$A$1:$C$6,3,)</f>
        <v>LSI HQ PD DIV. PD THD/SOP ASSY DEPT.</v>
      </c>
      <c r="J214" s="57">
        <v>45565</v>
      </c>
      <c r="K214" s="63">
        <f t="shared" ca="1" si="9"/>
        <v>354</v>
      </c>
      <c r="L214" s="64" t="str">
        <f t="shared" ca="1" si="10"/>
        <v>UPDATED</v>
      </c>
    </row>
    <row r="215" spans="1:12" x14ac:dyDescent="0.2">
      <c r="A215" s="60" t="s">
        <v>234</v>
      </c>
      <c r="B215" s="60" t="s">
        <v>455</v>
      </c>
      <c r="C215" s="60" t="s">
        <v>247</v>
      </c>
      <c r="D215" s="56" t="s">
        <v>56</v>
      </c>
      <c r="E215" s="60" t="s">
        <v>248</v>
      </c>
      <c r="F215" s="60" t="s">
        <v>262</v>
      </c>
      <c r="G215" s="60" t="s">
        <v>49</v>
      </c>
      <c r="H215" s="60" t="str">
        <f>VLOOKUP($G215,Sheet3!$A$1:$C$6,2,)</f>
        <v>RAFAEL CRUCERO</v>
      </c>
      <c r="I215" s="60" t="str">
        <f>VLOOKUP($G215,Sheet3!$A$1:$C$6,3,)</f>
        <v>LSI HQ PD DIV. PD THD/SOP ASSY DEPT.</v>
      </c>
      <c r="J215" s="57">
        <v>45565</v>
      </c>
      <c r="K215" s="63">
        <f t="shared" ca="1" si="9"/>
        <v>354</v>
      </c>
      <c r="L215" s="64" t="str">
        <f t="shared" ca="1" si="10"/>
        <v>UPDATED</v>
      </c>
    </row>
    <row r="216" spans="1:12" x14ac:dyDescent="0.2">
      <c r="A216" s="60" t="s">
        <v>235</v>
      </c>
      <c r="B216" s="60" t="s">
        <v>454</v>
      </c>
      <c r="C216" s="60" t="s">
        <v>247</v>
      </c>
      <c r="D216" s="56" t="s">
        <v>56</v>
      </c>
      <c r="E216" s="60" t="s">
        <v>248</v>
      </c>
      <c r="F216" s="60" t="s">
        <v>262</v>
      </c>
      <c r="G216" s="60" t="s">
        <v>49</v>
      </c>
      <c r="H216" s="60" t="str">
        <f>VLOOKUP($G216,Sheet3!$A$1:$C$6,2,)</f>
        <v>RAFAEL CRUCERO</v>
      </c>
      <c r="I216" s="60" t="str">
        <f>VLOOKUP($G216,Sheet3!$A$1:$C$6,3,)</f>
        <v>LSI HQ PD DIV. PD THD/SOP ASSY DEPT.</v>
      </c>
      <c r="J216" s="57">
        <v>45679</v>
      </c>
      <c r="K216" s="63">
        <f t="shared" ca="1" si="9"/>
        <v>240</v>
      </c>
      <c r="L216" s="64" t="str">
        <f t="shared" ca="1" si="10"/>
        <v>UPDATED</v>
      </c>
    </row>
    <row r="217" spans="1:12" x14ac:dyDescent="0.2">
      <c r="A217" s="60" t="s">
        <v>236</v>
      </c>
      <c r="B217" s="60" t="s">
        <v>456</v>
      </c>
      <c r="C217" s="60" t="s">
        <v>247</v>
      </c>
      <c r="D217" s="56" t="s">
        <v>56</v>
      </c>
      <c r="E217" s="60" t="s">
        <v>248</v>
      </c>
      <c r="F217" s="60" t="s">
        <v>262</v>
      </c>
      <c r="G217" s="60" t="s">
        <v>49</v>
      </c>
      <c r="H217" s="60" t="str">
        <f>VLOOKUP($G217,Sheet3!$A$1:$C$6,2,)</f>
        <v>RAFAEL CRUCERO</v>
      </c>
      <c r="I217" s="60" t="str">
        <f>VLOOKUP($G217,Sheet3!$A$1:$C$6,3,)</f>
        <v>LSI HQ PD DIV. PD THD/SOP ASSY DEPT.</v>
      </c>
      <c r="J217" s="57">
        <v>45571</v>
      </c>
      <c r="K217" s="63">
        <f t="shared" ca="1" si="9"/>
        <v>348</v>
      </c>
      <c r="L217" s="64" t="str">
        <f t="shared" ref="L217:L246" ca="1" si="11">IF(K217&gt;=365,"EXPIRED","UPDATED")</f>
        <v>UPDATED</v>
      </c>
    </row>
    <row r="218" spans="1:12" x14ac:dyDescent="0.2">
      <c r="A218" s="60" t="s">
        <v>268</v>
      </c>
      <c r="B218" s="60" t="s">
        <v>269</v>
      </c>
      <c r="C218" s="60" t="s">
        <v>247</v>
      </c>
      <c r="D218" s="56" t="s">
        <v>55</v>
      </c>
      <c r="E218" s="60" t="s">
        <v>248</v>
      </c>
      <c r="F218" s="60" t="s">
        <v>260</v>
      </c>
      <c r="G218" s="60" t="s">
        <v>49</v>
      </c>
      <c r="H218" s="60" t="str">
        <f>VLOOKUP($G218,Sheet3!$A$1:$C$6,2,)</f>
        <v>RAFAEL CRUCERO</v>
      </c>
      <c r="I218" s="60" t="str">
        <f>VLOOKUP($G218,Sheet3!$A$1:$C$6,3,)</f>
        <v>LSI HQ PD DIV. PD THD/SOP ASSY DEPT.</v>
      </c>
      <c r="J218" s="57">
        <v>45720</v>
      </c>
      <c r="K218" s="63">
        <f t="shared" ca="1" si="9"/>
        <v>199</v>
      </c>
      <c r="L218" s="64" t="str">
        <f t="shared" ca="1" si="11"/>
        <v>UPDATED</v>
      </c>
    </row>
    <row r="219" spans="1:12" x14ac:dyDescent="0.2">
      <c r="A219" s="60" t="s">
        <v>366</v>
      </c>
      <c r="B219" s="60" t="s">
        <v>367</v>
      </c>
      <c r="C219" s="60" t="s">
        <v>247</v>
      </c>
      <c r="D219" s="56" t="s">
        <v>55</v>
      </c>
      <c r="E219" s="60" t="s">
        <v>248</v>
      </c>
      <c r="F219" s="60" t="s">
        <v>252</v>
      </c>
      <c r="G219" s="60" t="s">
        <v>49</v>
      </c>
      <c r="H219" s="60" t="str">
        <f>VLOOKUP($G219,Sheet3!$A$1:$C$6,2,)</f>
        <v>RAFAEL CRUCERO</v>
      </c>
      <c r="I219" s="60" t="str">
        <f>VLOOKUP($G219,Sheet3!$A$1:$C$6,3,)</f>
        <v>LSI HQ PD DIV. PD THD/SOP ASSY DEPT.</v>
      </c>
      <c r="J219" s="57">
        <v>45609</v>
      </c>
      <c r="K219" s="63">
        <f t="shared" ca="1" si="9"/>
        <v>310</v>
      </c>
      <c r="L219" s="64" t="str">
        <f t="shared" ca="1" si="11"/>
        <v>UPDATED</v>
      </c>
    </row>
    <row r="220" spans="1:12" x14ac:dyDescent="0.2">
      <c r="A220" s="60" t="s">
        <v>128</v>
      </c>
      <c r="B220" s="60" t="s">
        <v>390</v>
      </c>
      <c r="C220" s="60" t="s">
        <v>247</v>
      </c>
      <c r="D220" s="56" t="s">
        <v>52</v>
      </c>
      <c r="E220" s="60" t="s">
        <v>248</v>
      </c>
      <c r="F220" s="60" t="s">
        <v>260</v>
      </c>
      <c r="G220" s="60" t="s">
        <v>49</v>
      </c>
      <c r="H220" s="60" t="str">
        <f>VLOOKUP($G220,Sheet3!$A$1:$C$6,2,)</f>
        <v>RAFAEL CRUCERO</v>
      </c>
      <c r="I220" s="60" t="str">
        <f>VLOOKUP($G220,Sheet3!$A$1:$C$6,3,)</f>
        <v>LSI HQ PD DIV. PD THD/SOP ASSY DEPT.</v>
      </c>
      <c r="J220" s="57">
        <v>45354</v>
      </c>
      <c r="K220" s="63">
        <f t="shared" ca="1" si="9"/>
        <v>565</v>
      </c>
      <c r="L220" s="64" t="str">
        <f t="shared" ca="1" si="11"/>
        <v>EXPIRED</v>
      </c>
    </row>
    <row r="221" spans="1:12" x14ac:dyDescent="0.2">
      <c r="A221" s="60" t="s">
        <v>133</v>
      </c>
      <c r="B221" s="60" t="s">
        <v>416</v>
      </c>
      <c r="C221" s="60" t="s">
        <v>247</v>
      </c>
      <c r="D221" s="56" t="s">
        <v>52</v>
      </c>
      <c r="E221" s="60" t="s">
        <v>248</v>
      </c>
      <c r="F221" s="60" t="s">
        <v>255</v>
      </c>
      <c r="G221" s="60" t="s">
        <v>49</v>
      </c>
      <c r="H221" s="60" t="str">
        <f>VLOOKUP($G221,Sheet3!$A$1:$C$6,2,)</f>
        <v>RAFAEL CRUCERO</v>
      </c>
      <c r="I221" s="60" t="str">
        <f>VLOOKUP($G221,Sheet3!$A$1:$C$6,3,)</f>
        <v>LSI HQ PD DIV. PD THD/SOP ASSY DEPT.</v>
      </c>
      <c r="J221" s="57">
        <v>45381</v>
      </c>
      <c r="K221" s="63">
        <f t="shared" ca="1" si="9"/>
        <v>538</v>
      </c>
      <c r="L221" s="64" t="str">
        <f t="shared" ca="1" si="11"/>
        <v>EXPIRED</v>
      </c>
    </row>
    <row r="222" spans="1:12" x14ac:dyDescent="0.2">
      <c r="A222" s="60" t="s">
        <v>351</v>
      </c>
      <c r="B222" s="60" t="s">
        <v>352</v>
      </c>
      <c r="C222" s="60" t="s">
        <v>247</v>
      </c>
      <c r="D222" s="56" t="s">
        <v>55</v>
      </c>
      <c r="E222" s="60" t="s">
        <v>248</v>
      </c>
      <c r="F222" s="60" t="s">
        <v>262</v>
      </c>
      <c r="G222" s="60" t="s">
        <v>49</v>
      </c>
      <c r="H222" s="60" t="str">
        <f>VLOOKUP($G222,Sheet3!$A$1:$C$6,2,)</f>
        <v>RAFAEL CRUCERO</v>
      </c>
      <c r="I222" s="60" t="str">
        <f>VLOOKUP($G222,Sheet3!$A$1:$C$6,3,)</f>
        <v>LSI HQ PD DIV. PD THD/SOP ASSY DEPT.</v>
      </c>
      <c r="J222" s="57">
        <v>45599</v>
      </c>
      <c r="K222" s="63">
        <f t="shared" ca="1" si="9"/>
        <v>320</v>
      </c>
      <c r="L222" s="64" t="str">
        <f t="shared" ca="1" si="11"/>
        <v>UPDATED</v>
      </c>
    </row>
    <row r="223" spans="1:12" x14ac:dyDescent="0.2">
      <c r="A223" s="60" t="s">
        <v>288</v>
      </c>
      <c r="B223" s="60" t="s">
        <v>289</v>
      </c>
      <c r="C223" s="60" t="s">
        <v>247</v>
      </c>
      <c r="D223" s="56" t="s">
        <v>55</v>
      </c>
      <c r="E223" s="60" t="s">
        <v>248</v>
      </c>
      <c r="F223" s="60" t="s">
        <v>255</v>
      </c>
      <c r="G223" s="60" t="s">
        <v>49</v>
      </c>
      <c r="H223" s="60" t="str">
        <f>VLOOKUP($G223,Sheet3!$A$1:$C$6,2,)</f>
        <v>RAFAEL CRUCERO</v>
      </c>
      <c r="I223" s="60" t="str">
        <f>VLOOKUP($G223,Sheet3!$A$1:$C$6,3,)</f>
        <v>LSI HQ PD DIV. PD THD/SOP ASSY DEPT.</v>
      </c>
      <c r="J223" s="57">
        <v>45675</v>
      </c>
      <c r="K223" s="63">
        <f t="shared" ca="1" si="9"/>
        <v>244</v>
      </c>
      <c r="L223" s="64" t="str">
        <f t="shared" ca="1" si="11"/>
        <v>UPDATED</v>
      </c>
    </row>
    <row r="224" spans="1:12" x14ac:dyDescent="0.2">
      <c r="A224" s="60" t="s">
        <v>264</v>
      </c>
      <c r="B224" s="60" t="s">
        <v>265</v>
      </c>
      <c r="C224" s="60" t="s">
        <v>247</v>
      </c>
      <c r="D224" s="56" t="s">
        <v>55</v>
      </c>
      <c r="E224" s="60" t="s">
        <v>248</v>
      </c>
      <c r="F224" s="60" t="s">
        <v>260</v>
      </c>
      <c r="G224" s="60" t="s">
        <v>49</v>
      </c>
      <c r="H224" s="60" t="str">
        <f>VLOOKUP($G224,Sheet3!$A$1:$C$6,2,)</f>
        <v>RAFAEL CRUCERO</v>
      </c>
      <c r="I224" s="60" t="str">
        <f>VLOOKUP($G224,Sheet3!$A$1:$C$6,3,)</f>
        <v>LSI HQ PD DIV. PD THD/SOP ASSY DEPT.</v>
      </c>
      <c r="J224" s="57">
        <v>45708</v>
      </c>
      <c r="K224" s="63">
        <f t="shared" ca="1" si="9"/>
        <v>211</v>
      </c>
      <c r="L224" s="64" t="str">
        <f t="shared" ca="1" si="11"/>
        <v>UPDATED</v>
      </c>
    </row>
    <row r="225" spans="1:12" x14ac:dyDescent="0.2">
      <c r="A225" s="60" t="s">
        <v>136</v>
      </c>
      <c r="B225" s="60" t="s">
        <v>392</v>
      </c>
      <c r="C225" s="60" t="s">
        <v>247</v>
      </c>
      <c r="D225" s="56" t="s">
        <v>52</v>
      </c>
      <c r="E225" s="60" t="s">
        <v>248</v>
      </c>
      <c r="F225" s="60" t="s">
        <v>260</v>
      </c>
      <c r="G225" s="60" t="s">
        <v>49</v>
      </c>
      <c r="H225" s="60" t="str">
        <f>VLOOKUP($G225,Sheet3!$A$1:$C$6,2,)</f>
        <v>RAFAEL CRUCERO</v>
      </c>
      <c r="I225" s="60" t="str">
        <f>VLOOKUP($G225,Sheet3!$A$1:$C$6,3,)</f>
        <v>LSI HQ PD DIV. PD THD/SOP ASSY DEPT.</v>
      </c>
      <c r="J225" s="57">
        <v>45356</v>
      </c>
      <c r="K225" s="63">
        <f t="shared" ca="1" si="9"/>
        <v>563</v>
      </c>
      <c r="L225" s="64" t="str">
        <f t="shared" ca="1" si="11"/>
        <v>EXPIRED</v>
      </c>
    </row>
    <row r="226" spans="1:12" x14ac:dyDescent="0.2">
      <c r="A226" s="60" t="s">
        <v>143</v>
      </c>
      <c r="B226" s="60" t="s">
        <v>422</v>
      </c>
      <c r="C226" s="60" t="s">
        <v>247</v>
      </c>
      <c r="D226" s="56" t="s">
        <v>52</v>
      </c>
      <c r="E226" s="60" t="s">
        <v>248</v>
      </c>
      <c r="F226" s="60" t="s">
        <v>260</v>
      </c>
      <c r="G226" s="60" t="s">
        <v>49</v>
      </c>
      <c r="H226" s="60" t="str">
        <f>VLOOKUP($G226,Sheet3!$A$1:$C$6,2,)</f>
        <v>RAFAEL CRUCERO</v>
      </c>
      <c r="I226" s="60" t="str">
        <f>VLOOKUP($G226,Sheet3!$A$1:$C$6,3,)</f>
        <v>LSI HQ PD DIV. PD THD/SOP ASSY DEPT.</v>
      </c>
      <c r="J226" s="57">
        <v>45392</v>
      </c>
      <c r="K226" s="63">
        <f t="shared" ca="1" si="9"/>
        <v>527</v>
      </c>
      <c r="L226" s="64" t="str">
        <f t="shared" ca="1" si="11"/>
        <v>EXPIRED</v>
      </c>
    </row>
    <row r="227" spans="1:12" x14ac:dyDescent="0.2">
      <c r="A227" s="60" t="s">
        <v>153</v>
      </c>
      <c r="B227" s="60" t="s">
        <v>395</v>
      </c>
      <c r="C227" s="60" t="s">
        <v>247</v>
      </c>
      <c r="D227" s="56" t="s">
        <v>52</v>
      </c>
      <c r="E227" s="60" t="s">
        <v>248</v>
      </c>
      <c r="F227" s="60" t="s">
        <v>260</v>
      </c>
      <c r="G227" s="60" t="s">
        <v>49</v>
      </c>
      <c r="H227" s="60" t="str">
        <f>VLOOKUP($G227,Sheet3!$A$1:$C$6,2,)</f>
        <v>RAFAEL CRUCERO</v>
      </c>
      <c r="I227" s="60" t="str">
        <f>VLOOKUP($G227,Sheet3!$A$1:$C$6,3,)</f>
        <v>LSI HQ PD DIV. PD THD/SOP ASSY DEPT.</v>
      </c>
      <c r="J227" s="57">
        <v>45458</v>
      </c>
      <c r="K227" s="63">
        <f t="shared" ca="1" si="9"/>
        <v>461</v>
      </c>
      <c r="L227" s="64" t="str">
        <f t="shared" ca="1" si="11"/>
        <v>EXPIRED</v>
      </c>
    </row>
    <row r="228" spans="1:12" x14ac:dyDescent="0.2">
      <c r="A228" s="60" t="s">
        <v>368</v>
      </c>
      <c r="B228" s="60" t="s">
        <v>369</v>
      </c>
      <c r="C228" s="60" t="s">
        <v>247</v>
      </c>
      <c r="D228" s="56" t="s">
        <v>55</v>
      </c>
      <c r="E228" s="60" t="s">
        <v>248</v>
      </c>
      <c r="F228" s="60" t="s">
        <v>255</v>
      </c>
      <c r="G228" s="60" t="s">
        <v>49</v>
      </c>
      <c r="H228" s="60" t="str">
        <f>VLOOKUP($G228,Sheet3!$A$1:$C$6,2,)</f>
        <v>RAFAEL CRUCERO</v>
      </c>
      <c r="I228" s="60" t="str">
        <f>VLOOKUP($G228,Sheet3!$A$1:$C$6,3,)</f>
        <v>LSI HQ PD DIV. PD THD/SOP ASSY DEPT.</v>
      </c>
      <c r="J228" s="57">
        <v>45609</v>
      </c>
      <c r="K228" s="63">
        <f t="shared" ca="1" si="9"/>
        <v>310</v>
      </c>
      <c r="L228" s="64" t="str">
        <f t="shared" ca="1" si="11"/>
        <v>UPDATED</v>
      </c>
    </row>
    <row r="229" spans="1:12" x14ac:dyDescent="0.2">
      <c r="A229" s="60" t="s">
        <v>285</v>
      </c>
      <c r="B229" s="60" t="s">
        <v>286</v>
      </c>
      <c r="C229" s="60" t="s">
        <v>247</v>
      </c>
      <c r="D229" s="56" t="s">
        <v>55</v>
      </c>
      <c r="E229" s="60" t="s">
        <v>248</v>
      </c>
      <c r="F229" s="60" t="s">
        <v>260</v>
      </c>
      <c r="G229" s="60" t="s">
        <v>49</v>
      </c>
      <c r="H229" s="60" t="str">
        <f>VLOOKUP($G229,Sheet3!$A$1:$C$6,2,)</f>
        <v>RAFAEL CRUCERO</v>
      </c>
      <c r="I229" s="60" t="str">
        <f>VLOOKUP($G229,Sheet3!$A$1:$C$6,3,)</f>
        <v>LSI HQ PD DIV. PD THD/SOP ASSY DEPT.</v>
      </c>
      <c r="J229" s="57">
        <v>45670</v>
      </c>
      <c r="K229" s="63">
        <f t="shared" ca="1" si="9"/>
        <v>249</v>
      </c>
      <c r="L229" s="64" t="str">
        <f t="shared" ca="1" si="11"/>
        <v>UPDATED</v>
      </c>
    </row>
    <row r="230" spans="1:12" x14ac:dyDescent="0.2">
      <c r="A230" s="60" t="s">
        <v>147</v>
      </c>
      <c r="B230" s="60" t="s">
        <v>479</v>
      </c>
      <c r="C230" s="60" t="s">
        <v>247</v>
      </c>
      <c r="D230" s="56" t="s">
        <v>53</v>
      </c>
      <c r="E230" s="60" t="s">
        <v>248</v>
      </c>
      <c r="F230" s="60" t="s">
        <v>262</v>
      </c>
      <c r="G230" s="60" t="s">
        <v>49</v>
      </c>
      <c r="H230" s="60" t="str">
        <f>VLOOKUP($G230,Sheet3!$A$1:$C$6,2,)</f>
        <v>RAFAEL CRUCERO</v>
      </c>
      <c r="I230" s="60" t="str">
        <f>VLOOKUP($G230,Sheet3!$A$1:$C$6,3,)</f>
        <v>LSI HQ PD DIV. PD THD/SOP ASSY DEPT.</v>
      </c>
      <c r="J230" s="57">
        <v>45488</v>
      </c>
      <c r="K230" s="63">
        <f t="shared" ca="1" si="9"/>
        <v>431</v>
      </c>
      <c r="L230" s="64" t="str">
        <f t="shared" ca="1" si="11"/>
        <v>EXPIRED</v>
      </c>
    </row>
    <row r="231" spans="1:12" x14ac:dyDescent="0.2">
      <c r="A231" s="60" t="s">
        <v>266</v>
      </c>
      <c r="B231" s="60" t="s">
        <v>267</v>
      </c>
      <c r="C231" s="60" t="s">
        <v>247</v>
      </c>
      <c r="D231" s="56" t="s">
        <v>55</v>
      </c>
      <c r="E231" s="60" t="s">
        <v>248</v>
      </c>
      <c r="F231" s="60" t="s">
        <v>260</v>
      </c>
      <c r="G231" s="60" t="s">
        <v>49</v>
      </c>
      <c r="H231" s="60" t="str">
        <f>VLOOKUP($G231,Sheet3!$A$1:$C$6,2,)</f>
        <v>RAFAEL CRUCERO</v>
      </c>
      <c r="I231" s="60" t="str">
        <f>VLOOKUP($G231,Sheet3!$A$1:$C$6,3,)</f>
        <v>LSI HQ PD DIV. PD THD/SOP ASSY DEPT.</v>
      </c>
      <c r="J231" s="57">
        <v>45718</v>
      </c>
      <c r="K231" s="63">
        <f t="shared" ca="1" si="9"/>
        <v>201</v>
      </c>
      <c r="L231" s="64" t="str">
        <f t="shared" ca="1" si="11"/>
        <v>UPDATED</v>
      </c>
    </row>
    <row r="232" spans="1:12" x14ac:dyDescent="0.2">
      <c r="A232" s="60" t="s">
        <v>159</v>
      </c>
      <c r="B232" s="60" t="s">
        <v>464</v>
      </c>
      <c r="C232" s="60" t="s">
        <v>247</v>
      </c>
      <c r="D232" s="56" t="s">
        <v>53</v>
      </c>
      <c r="E232" s="60" t="s">
        <v>248</v>
      </c>
      <c r="F232" s="60" t="s">
        <v>255</v>
      </c>
      <c r="G232" s="60" t="s">
        <v>49</v>
      </c>
      <c r="H232" s="60" t="str">
        <f>VLOOKUP($G232,Sheet3!$A$1:$C$6,2,)</f>
        <v>RAFAEL CRUCERO</v>
      </c>
      <c r="I232" s="60" t="str">
        <f>VLOOKUP($G232,Sheet3!$A$1:$C$6,3,)</f>
        <v>LSI HQ PD DIV. PD THD/SOP ASSY DEPT.</v>
      </c>
      <c r="J232" s="57">
        <v>45352</v>
      </c>
      <c r="K232" s="63">
        <f t="shared" ca="1" si="9"/>
        <v>567</v>
      </c>
      <c r="L232" s="64" t="str">
        <f t="shared" ca="1" si="11"/>
        <v>EXPIRED</v>
      </c>
    </row>
    <row r="233" spans="1:12" x14ac:dyDescent="0.2">
      <c r="A233" s="60" t="s">
        <v>335</v>
      </c>
      <c r="B233" s="60" t="s">
        <v>336</v>
      </c>
      <c r="C233" s="60" t="s">
        <v>247</v>
      </c>
      <c r="D233" s="56" t="s">
        <v>55</v>
      </c>
      <c r="E233" s="60" t="s">
        <v>248</v>
      </c>
      <c r="F233" s="60" t="s">
        <v>260</v>
      </c>
      <c r="G233" s="60" t="s">
        <v>49</v>
      </c>
      <c r="H233" s="60" t="str">
        <f>VLOOKUP($G233,Sheet3!$A$1:$C$6,2,)</f>
        <v>RAFAEL CRUCERO</v>
      </c>
      <c r="I233" s="60" t="str">
        <f>VLOOKUP($G233,Sheet3!$A$1:$C$6,3,)</f>
        <v>LSI HQ PD DIV. PD THD/SOP ASSY DEPT.</v>
      </c>
      <c r="J233" s="57">
        <v>45511</v>
      </c>
      <c r="K233" s="63">
        <f t="shared" ca="1" si="9"/>
        <v>408</v>
      </c>
      <c r="L233" s="64" t="str">
        <f t="shared" ca="1" si="11"/>
        <v>EXPIRED</v>
      </c>
    </row>
    <row r="234" spans="1:12" x14ac:dyDescent="0.2">
      <c r="A234" s="60" t="s">
        <v>161</v>
      </c>
      <c r="B234" s="60" t="s">
        <v>430</v>
      </c>
      <c r="C234" s="60" t="s">
        <v>247</v>
      </c>
      <c r="D234" s="56" t="s">
        <v>54</v>
      </c>
      <c r="E234" s="60" t="s">
        <v>248</v>
      </c>
      <c r="F234" s="60" t="s">
        <v>255</v>
      </c>
      <c r="G234" s="60" t="s">
        <v>49</v>
      </c>
      <c r="H234" s="60" t="str">
        <f>VLOOKUP($G234,Sheet3!$A$1:$C$6,2,)</f>
        <v>RAFAEL CRUCERO</v>
      </c>
      <c r="I234" s="60" t="str">
        <f>VLOOKUP($G234,Sheet3!$A$1:$C$6,3,)</f>
        <v>LSI HQ PD DIV. PD THD/SOP ASSY DEPT.</v>
      </c>
      <c r="J234" s="57">
        <v>45447</v>
      </c>
      <c r="K234" s="63">
        <f t="shared" ca="1" si="9"/>
        <v>472</v>
      </c>
      <c r="L234" s="64" t="str">
        <f t="shared" ca="1" si="11"/>
        <v>EXPIRED</v>
      </c>
    </row>
    <row r="235" spans="1:12" x14ac:dyDescent="0.2">
      <c r="A235" s="60" t="s">
        <v>301</v>
      </c>
      <c r="B235" s="60" t="s">
        <v>302</v>
      </c>
      <c r="C235" s="60" t="s">
        <v>247</v>
      </c>
      <c r="D235" s="56" t="s">
        <v>55</v>
      </c>
      <c r="E235" s="60" t="s">
        <v>248</v>
      </c>
      <c r="F235" s="60" t="s">
        <v>262</v>
      </c>
      <c r="G235" s="60" t="s">
        <v>49</v>
      </c>
      <c r="H235" s="60" t="str">
        <f>VLOOKUP($G235,Sheet3!$A$1:$C$6,2,)</f>
        <v>RAFAEL CRUCERO</v>
      </c>
      <c r="I235" s="60" t="str">
        <f>VLOOKUP($G235,Sheet3!$A$1:$C$6,3,)</f>
        <v>LSI HQ PD DIV. PD THD/SOP ASSY DEPT.</v>
      </c>
      <c r="J235" s="57">
        <v>45715</v>
      </c>
      <c r="K235" s="63">
        <f t="shared" ca="1" si="9"/>
        <v>204</v>
      </c>
      <c r="L235" s="64" t="str">
        <f t="shared" ca="1" si="11"/>
        <v>UPDATED</v>
      </c>
    </row>
    <row r="236" spans="1:12" x14ac:dyDescent="0.2">
      <c r="A236" s="60" t="s">
        <v>162</v>
      </c>
      <c r="B236" s="60" t="s">
        <v>431</v>
      </c>
      <c r="C236" s="60" t="s">
        <v>247</v>
      </c>
      <c r="D236" s="56" t="s">
        <v>54</v>
      </c>
      <c r="E236" s="60" t="s">
        <v>248</v>
      </c>
      <c r="F236" s="60" t="s">
        <v>249</v>
      </c>
      <c r="G236" s="60" t="s">
        <v>49</v>
      </c>
      <c r="H236" s="60" t="str">
        <f>VLOOKUP($G236,Sheet3!$A$1:$C$6,2,)</f>
        <v>RAFAEL CRUCERO</v>
      </c>
      <c r="I236" s="60" t="str">
        <f>VLOOKUP($G236,Sheet3!$A$1:$C$6,3,)</f>
        <v>LSI HQ PD DIV. PD THD/SOP ASSY DEPT.</v>
      </c>
      <c r="J236" s="57">
        <v>45449</v>
      </c>
      <c r="K236" s="63">
        <f t="shared" ca="1" si="9"/>
        <v>470</v>
      </c>
      <c r="L236" s="64" t="str">
        <f t="shared" ca="1" si="11"/>
        <v>EXPIRED</v>
      </c>
    </row>
    <row r="237" spans="1:12" x14ac:dyDescent="0.2">
      <c r="A237" s="60" t="s">
        <v>164</v>
      </c>
      <c r="B237" s="60" t="s">
        <v>432</v>
      </c>
      <c r="C237" s="60" t="s">
        <v>247</v>
      </c>
      <c r="D237" s="56" t="s">
        <v>54</v>
      </c>
      <c r="E237" s="60" t="s">
        <v>248</v>
      </c>
      <c r="F237" s="60" t="s">
        <v>271</v>
      </c>
      <c r="G237" s="60" t="s">
        <v>49</v>
      </c>
      <c r="H237" s="60" t="str">
        <f>VLOOKUP($G237,Sheet3!$A$1:$C$6,2,)</f>
        <v>RAFAEL CRUCERO</v>
      </c>
      <c r="I237" s="60" t="str">
        <f>VLOOKUP($G237,Sheet3!$A$1:$C$6,3,)</f>
        <v>LSI HQ PD DIV. PD THD/SOP ASSY DEPT.</v>
      </c>
      <c r="J237" s="57">
        <v>45446</v>
      </c>
      <c r="K237" s="63">
        <f t="shared" ca="1" si="9"/>
        <v>473</v>
      </c>
      <c r="L237" s="64" t="str">
        <f t="shared" ca="1" si="11"/>
        <v>EXPIRED</v>
      </c>
    </row>
    <row r="238" spans="1:12" x14ac:dyDescent="0.2">
      <c r="A238" s="60" t="s">
        <v>232</v>
      </c>
      <c r="B238" s="60" t="s">
        <v>452</v>
      </c>
      <c r="C238" s="60" t="s">
        <v>247</v>
      </c>
      <c r="D238" s="56" t="s">
        <v>56</v>
      </c>
      <c r="E238" s="60" t="s">
        <v>248</v>
      </c>
      <c r="F238" s="60" t="s">
        <v>271</v>
      </c>
      <c r="G238" s="60" t="s">
        <v>49</v>
      </c>
      <c r="H238" s="60" t="str">
        <f>VLOOKUP($G238,Sheet3!$A$1:$C$6,2,)</f>
        <v>RAFAEL CRUCERO</v>
      </c>
      <c r="I238" s="60" t="str">
        <f>VLOOKUP($G238,Sheet3!$A$1:$C$6,3,)</f>
        <v>LSI HQ PD DIV. PD THD/SOP ASSY DEPT.</v>
      </c>
      <c r="J238" s="57">
        <v>45393</v>
      </c>
      <c r="K238" s="63">
        <f t="shared" ca="1" si="9"/>
        <v>526</v>
      </c>
      <c r="L238" s="64" t="str">
        <f t="shared" ca="1" si="11"/>
        <v>EXPIRED</v>
      </c>
    </row>
    <row r="239" spans="1:12" x14ac:dyDescent="0.2">
      <c r="A239" s="60" t="s">
        <v>290</v>
      </c>
      <c r="B239" s="60" t="s">
        <v>291</v>
      </c>
      <c r="C239" s="60" t="s">
        <v>247</v>
      </c>
      <c r="D239" s="56" t="s">
        <v>55</v>
      </c>
      <c r="E239" s="60" t="s">
        <v>248</v>
      </c>
      <c r="F239" s="60" t="s">
        <v>271</v>
      </c>
      <c r="G239" s="60" t="s">
        <v>49</v>
      </c>
      <c r="H239" s="60" t="str">
        <f>VLOOKUP($G239,Sheet3!$A$1:$C$6,2,)</f>
        <v>RAFAEL CRUCERO</v>
      </c>
      <c r="I239" s="60" t="str">
        <f>VLOOKUP($G239,Sheet3!$A$1:$C$6,3,)</f>
        <v>LSI HQ PD DIV. PD THD/SOP ASSY DEPT.</v>
      </c>
      <c r="J239" s="57">
        <v>45674</v>
      </c>
      <c r="K239" s="63">
        <f t="shared" ca="1" si="9"/>
        <v>245</v>
      </c>
      <c r="L239" s="64" t="str">
        <f t="shared" ca="1" si="11"/>
        <v>UPDATED</v>
      </c>
    </row>
    <row r="240" spans="1:12" x14ac:dyDescent="0.2">
      <c r="A240" s="60" t="s">
        <v>75</v>
      </c>
      <c r="B240" s="60" t="s">
        <v>449</v>
      </c>
      <c r="C240" s="60" t="s">
        <v>247</v>
      </c>
      <c r="D240" s="56" t="s">
        <v>51</v>
      </c>
      <c r="E240" s="60" t="s">
        <v>248</v>
      </c>
      <c r="F240" s="60" t="s">
        <v>260</v>
      </c>
      <c r="G240" s="60" t="s">
        <v>49</v>
      </c>
      <c r="H240" s="60" t="str">
        <f>VLOOKUP($G240,Sheet3!$A$1:$C$6,2,)</f>
        <v>RAFAEL CRUCERO</v>
      </c>
      <c r="I240" s="60" t="str">
        <f>VLOOKUP($G240,Sheet3!$A$1:$C$6,3,)</f>
        <v>LSI HQ PD DIV. PD THD/SOP ASSY DEPT.</v>
      </c>
      <c r="J240" s="57">
        <v>45455</v>
      </c>
      <c r="K240" s="63">
        <f t="shared" ca="1" si="9"/>
        <v>464</v>
      </c>
      <c r="L240" s="64" t="str">
        <f t="shared" ca="1" si="11"/>
        <v>EXPIRED</v>
      </c>
    </row>
    <row r="241" spans="1:12" x14ac:dyDescent="0.2">
      <c r="A241" s="60" t="s">
        <v>77</v>
      </c>
      <c r="B241" s="60" t="s">
        <v>438</v>
      </c>
      <c r="C241" s="60" t="s">
        <v>247</v>
      </c>
      <c r="D241" s="56" t="s">
        <v>51</v>
      </c>
      <c r="E241" s="60" t="s">
        <v>248</v>
      </c>
      <c r="F241" s="60" t="s">
        <v>255</v>
      </c>
      <c r="G241" s="60" t="s">
        <v>49</v>
      </c>
      <c r="H241" s="60" t="str">
        <f>VLOOKUP($G241,Sheet3!$A$1:$C$6,2,)</f>
        <v>RAFAEL CRUCERO</v>
      </c>
      <c r="I241" s="60" t="str">
        <f>VLOOKUP($G241,Sheet3!$A$1:$C$6,3,)</f>
        <v>LSI HQ PD DIV. PD THD/SOP ASSY DEPT.</v>
      </c>
      <c r="J241" s="57">
        <v>45141</v>
      </c>
      <c r="K241" s="63">
        <f t="shared" ca="1" si="9"/>
        <v>778</v>
      </c>
      <c r="L241" s="64" t="str">
        <f t="shared" ca="1" si="11"/>
        <v>EXPIRED</v>
      </c>
    </row>
    <row r="242" spans="1:12" x14ac:dyDescent="0.2">
      <c r="A242" s="60" t="s">
        <v>80</v>
      </c>
      <c r="B242" s="60" t="s">
        <v>448</v>
      </c>
      <c r="C242" s="60" t="s">
        <v>247</v>
      </c>
      <c r="D242" s="56" t="s">
        <v>51</v>
      </c>
      <c r="E242" s="60" t="s">
        <v>248</v>
      </c>
      <c r="F242" s="60" t="s">
        <v>262</v>
      </c>
      <c r="G242" s="60" t="s">
        <v>49</v>
      </c>
      <c r="H242" s="60" t="str">
        <f>VLOOKUP($G242,Sheet3!$A$1:$C$6,2,)</f>
        <v>RAFAEL CRUCERO</v>
      </c>
      <c r="I242" s="60" t="str">
        <f>VLOOKUP($G242,Sheet3!$A$1:$C$6,3,)</f>
        <v>LSI HQ PD DIV. PD THD/SOP ASSY DEPT.</v>
      </c>
      <c r="J242" s="57">
        <v>45398</v>
      </c>
      <c r="K242" s="63">
        <f t="shared" ca="1" si="9"/>
        <v>521</v>
      </c>
      <c r="L242" s="64" t="str">
        <f t="shared" ca="1" si="11"/>
        <v>EXPIRED</v>
      </c>
    </row>
    <row r="243" spans="1:12" x14ac:dyDescent="0.2">
      <c r="A243" s="60" t="s">
        <v>257</v>
      </c>
      <c r="B243" s="60" t="s">
        <v>258</v>
      </c>
      <c r="C243" s="60" t="s">
        <v>247</v>
      </c>
      <c r="D243" s="56" t="s">
        <v>55</v>
      </c>
      <c r="E243" s="60" t="s">
        <v>248</v>
      </c>
      <c r="F243" s="60" t="s">
        <v>259</v>
      </c>
      <c r="G243" s="60" t="s">
        <v>49</v>
      </c>
      <c r="H243" s="60" t="str">
        <f>VLOOKUP($G243,Sheet3!$A$1:$C$6,2,)</f>
        <v>RAFAEL CRUCERO</v>
      </c>
      <c r="I243" s="60" t="str">
        <f>VLOOKUP($G243,Sheet3!$A$1:$C$6,3,)</f>
        <v>LSI HQ PD DIV. PD THD/SOP ASSY DEPT.</v>
      </c>
      <c r="J243" s="57">
        <v>45668</v>
      </c>
      <c r="K243" s="63">
        <f t="shared" ca="1" si="9"/>
        <v>251</v>
      </c>
      <c r="L243" s="64" t="str">
        <f t="shared" ca="1" si="11"/>
        <v>UPDATED</v>
      </c>
    </row>
    <row r="244" spans="1:12" x14ac:dyDescent="0.2">
      <c r="A244" s="60" t="s">
        <v>81</v>
      </c>
      <c r="B244" s="60" t="s">
        <v>439</v>
      </c>
      <c r="C244" s="60" t="s">
        <v>247</v>
      </c>
      <c r="D244" s="56" t="s">
        <v>51</v>
      </c>
      <c r="E244" s="60" t="s">
        <v>248</v>
      </c>
      <c r="F244" s="60" t="s">
        <v>255</v>
      </c>
      <c r="G244" s="60" t="s">
        <v>49</v>
      </c>
      <c r="H244" s="60" t="str">
        <f>VLOOKUP($G244,Sheet3!$A$1:$C$6,2,)</f>
        <v>RAFAEL CRUCERO</v>
      </c>
      <c r="I244" s="60" t="str">
        <f>VLOOKUP($G244,Sheet3!$A$1:$C$6,3,)</f>
        <v>LSI HQ PD DIV. PD THD/SOP ASSY DEPT.</v>
      </c>
      <c r="J244" s="57">
        <v>45393</v>
      </c>
      <c r="K244" s="63">
        <f t="shared" ca="1" si="9"/>
        <v>526</v>
      </c>
      <c r="L244" s="64" t="str">
        <f t="shared" ca="1" si="11"/>
        <v>EXPIRED</v>
      </c>
    </row>
    <row r="245" spans="1:12" x14ac:dyDescent="0.2">
      <c r="A245" s="60" t="s">
        <v>82</v>
      </c>
      <c r="B245" s="60" t="s">
        <v>447</v>
      </c>
      <c r="C245" s="60" t="s">
        <v>247</v>
      </c>
      <c r="D245" s="56" t="s">
        <v>51</v>
      </c>
      <c r="E245" s="60" t="s">
        <v>248</v>
      </c>
      <c r="F245" s="60" t="s">
        <v>255</v>
      </c>
      <c r="G245" s="60" t="s">
        <v>49</v>
      </c>
      <c r="H245" s="60" t="str">
        <f>VLOOKUP($G245,Sheet3!$A$1:$C$6,2,)</f>
        <v>RAFAEL CRUCERO</v>
      </c>
      <c r="I245" s="60" t="str">
        <f>VLOOKUP($G245,Sheet3!$A$1:$C$6,3,)</f>
        <v>LSI HQ PD DIV. PD THD/SOP ASSY DEPT.</v>
      </c>
      <c r="J245" s="57">
        <v>45357</v>
      </c>
      <c r="K245" s="63">
        <f t="shared" ca="1" si="9"/>
        <v>562</v>
      </c>
      <c r="L245" s="64" t="str">
        <f t="shared" ca="1" si="11"/>
        <v>EXPIRED</v>
      </c>
    </row>
    <row r="246" spans="1:12" x14ac:dyDescent="0.2">
      <c r="A246" s="60" t="s">
        <v>87</v>
      </c>
      <c r="B246" s="60" t="s">
        <v>442</v>
      </c>
      <c r="C246" s="60" t="s">
        <v>247</v>
      </c>
      <c r="D246" s="56" t="s">
        <v>51</v>
      </c>
      <c r="E246" s="60" t="s">
        <v>248</v>
      </c>
      <c r="F246" s="60">
        <v>0</v>
      </c>
      <c r="G246" s="60" t="s">
        <v>49</v>
      </c>
      <c r="H246" s="60" t="str">
        <f>VLOOKUP($G246,Sheet3!$A$1:$C$6,2,)</f>
        <v>RAFAEL CRUCERO</v>
      </c>
      <c r="I246" s="60" t="str">
        <f>VLOOKUP($G246,Sheet3!$A$1:$C$6,3,)</f>
        <v>LSI HQ PD DIV. PD THD/SOP ASSY DEPT.</v>
      </c>
      <c r="J246" s="57">
        <v>0</v>
      </c>
      <c r="K246" s="63">
        <f t="shared" ca="1" si="9"/>
        <v>45919</v>
      </c>
      <c r="L246" s="64" t="str">
        <f t="shared" ca="1" si="11"/>
        <v>EXPIRED</v>
      </c>
    </row>
    <row r="247" spans="1:12" x14ac:dyDescent="0.2">
      <c r="A247" s="60" t="s">
        <v>146</v>
      </c>
    </row>
    <row r="248" spans="1:12" x14ac:dyDescent="0.2">
      <c r="A248" s="60" t="s">
        <v>146</v>
      </c>
    </row>
  </sheetData>
  <sheetProtection sort="0" autoFilter="0"/>
  <autoFilter ref="A1:L248"/>
  <conditionalFormatting sqref="L1:L1048576 A1:J1048576">
    <cfRule type="expression" dxfId="1" priority="2">
      <formula>$L1="EXPIRED"</formula>
    </cfRule>
  </conditionalFormatting>
  <conditionalFormatting sqref="N1">
    <cfRule type="expression" dxfId="0" priority="1">
      <formula>$L1="EXPIRED"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  <pageSetUpPr fitToPage="1"/>
  </sheetPr>
  <dimension ref="A1:AP145"/>
  <sheetViews>
    <sheetView tabSelected="1" zoomScale="160" zoomScaleNormal="160" zoomScaleSheetLayoutView="145" workbookViewId="0">
      <selection activeCell="AN17" sqref="AN17"/>
    </sheetView>
  </sheetViews>
  <sheetFormatPr defaultColWidth="2.7109375" defaultRowHeight="12.75" x14ac:dyDescent="0.25"/>
  <cols>
    <col min="1" max="1" width="0.7109375" style="15" customWidth="1"/>
    <col min="2" max="2" width="2.7109375" style="15" customWidth="1"/>
    <col min="3" max="6" width="3" style="15" customWidth="1"/>
    <col min="7" max="12" width="2.5703125" style="15" customWidth="1"/>
    <col min="13" max="36" width="3" style="15" customWidth="1"/>
    <col min="37" max="37" width="2.7109375" style="15" customWidth="1"/>
    <col min="38" max="38" width="0.85546875" style="15" customWidth="1"/>
    <col min="39" max="39" width="2.7109375" style="10"/>
    <col min="40" max="40" width="25.7109375" style="10" customWidth="1"/>
    <col min="41" max="227" width="2.7109375" style="10"/>
    <col min="228" max="228" width="0.7109375" style="10" customWidth="1"/>
    <col min="229" max="229" width="2.7109375" style="10"/>
    <col min="230" max="233" width="3" style="10" customWidth="1"/>
    <col min="234" max="239" width="2.5703125" style="10" customWidth="1"/>
    <col min="240" max="263" width="3" style="10" customWidth="1"/>
    <col min="264" max="264" width="2.7109375" style="10"/>
    <col min="265" max="265" width="0.85546875" style="10" customWidth="1"/>
    <col min="266" max="483" width="2.7109375" style="10"/>
    <col min="484" max="484" width="0.7109375" style="10" customWidth="1"/>
    <col min="485" max="485" width="2.7109375" style="10"/>
    <col min="486" max="489" width="3" style="10" customWidth="1"/>
    <col min="490" max="495" width="2.5703125" style="10" customWidth="1"/>
    <col min="496" max="519" width="3" style="10" customWidth="1"/>
    <col min="520" max="520" width="2.7109375" style="10"/>
    <col min="521" max="521" width="0.85546875" style="10" customWidth="1"/>
    <col min="522" max="739" width="2.7109375" style="10"/>
    <col min="740" max="740" width="0.7109375" style="10" customWidth="1"/>
    <col min="741" max="741" width="2.7109375" style="10"/>
    <col min="742" max="745" width="3" style="10" customWidth="1"/>
    <col min="746" max="751" width="2.5703125" style="10" customWidth="1"/>
    <col min="752" max="775" width="3" style="10" customWidth="1"/>
    <col min="776" max="776" width="2.7109375" style="10"/>
    <col min="777" max="777" width="0.85546875" style="10" customWidth="1"/>
    <col min="778" max="995" width="2.7109375" style="10"/>
    <col min="996" max="996" width="0.7109375" style="10" customWidth="1"/>
    <col min="997" max="997" width="2.7109375" style="10"/>
    <col min="998" max="1001" width="3" style="10" customWidth="1"/>
    <col min="1002" max="1007" width="2.5703125" style="10" customWidth="1"/>
    <col min="1008" max="1031" width="3" style="10" customWidth="1"/>
    <col min="1032" max="1032" width="2.7109375" style="10"/>
    <col min="1033" max="1033" width="0.85546875" style="10" customWidth="1"/>
    <col min="1034" max="1251" width="2.7109375" style="10"/>
    <col min="1252" max="1252" width="0.7109375" style="10" customWidth="1"/>
    <col min="1253" max="1253" width="2.7109375" style="10"/>
    <col min="1254" max="1257" width="3" style="10" customWidth="1"/>
    <col min="1258" max="1263" width="2.5703125" style="10" customWidth="1"/>
    <col min="1264" max="1287" width="3" style="10" customWidth="1"/>
    <col min="1288" max="1288" width="2.7109375" style="10"/>
    <col min="1289" max="1289" width="0.85546875" style="10" customWidth="1"/>
    <col min="1290" max="1507" width="2.7109375" style="10"/>
    <col min="1508" max="1508" width="0.7109375" style="10" customWidth="1"/>
    <col min="1509" max="1509" width="2.7109375" style="10"/>
    <col min="1510" max="1513" width="3" style="10" customWidth="1"/>
    <col min="1514" max="1519" width="2.5703125" style="10" customWidth="1"/>
    <col min="1520" max="1543" width="3" style="10" customWidth="1"/>
    <col min="1544" max="1544" width="2.7109375" style="10"/>
    <col min="1545" max="1545" width="0.85546875" style="10" customWidth="1"/>
    <col min="1546" max="1763" width="2.7109375" style="10"/>
    <col min="1764" max="1764" width="0.7109375" style="10" customWidth="1"/>
    <col min="1765" max="1765" width="2.7109375" style="10"/>
    <col min="1766" max="1769" width="3" style="10" customWidth="1"/>
    <col min="1770" max="1775" width="2.5703125" style="10" customWidth="1"/>
    <col min="1776" max="1799" width="3" style="10" customWidth="1"/>
    <col min="1800" max="1800" width="2.7109375" style="10"/>
    <col min="1801" max="1801" width="0.85546875" style="10" customWidth="1"/>
    <col min="1802" max="2019" width="2.7109375" style="10"/>
    <col min="2020" max="2020" width="0.7109375" style="10" customWidth="1"/>
    <col min="2021" max="2021" width="2.7109375" style="10"/>
    <col min="2022" max="2025" width="3" style="10" customWidth="1"/>
    <col min="2026" max="2031" width="2.5703125" style="10" customWidth="1"/>
    <col min="2032" max="2055" width="3" style="10" customWidth="1"/>
    <col min="2056" max="2056" width="2.7109375" style="10"/>
    <col min="2057" max="2057" width="0.85546875" style="10" customWidth="1"/>
    <col min="2058" max="2275" width="2.7109375" style="10"/>
    <col min="2276" max="2276" width="0.7109375" style="10" customWidth="1"/>
    <col min="2277" max="2277" width="2.7109375" style="10"/>
    <col min="2278" max="2281" width="3" style="10" customWidth="1"/>
    <col min="2282" max="2287" width="2.5703125" style="10" customWidth="1"/>
    <col min="2288" max="2311" width="3" style="10" customWidth="1"/>
    <col min="2312" max="2312" width="2.7109375" style="10"/>
    <col min="2313" max="2313" width="0.85546875" style="10" customWidth="1"/>
    <col min="2314" max="2531" width="2.7109375" style="10"/>
    <col min="2532" max="2532" width="0.7109375" style="10" customWidth="1"/>
    <col min="2533" max="2533" width="2.7109375" style="10"/>
    <col min="2534" max="2537" width="3" style="10" customWidth="1"/>
    <col min="2538" max="2543" width="2.5703125" style="10" customWidth="1"/>
    <col min="2544" max="2567" width="3" style="10" customWidth="1"/>
    <col min="2568" max="2568" width="2.7109375" style="10"/>
    <col min="2569" max="2569" width="0.85546875" style="10" customWidth="1"/>
    <col min="2570" max="2787" width="2.7109375" style="10"/>
    <col min="2788" max="2788" width="0.7109375" style="10" customWidth="1"/>
    <col min="2789" max="2789" width="2.7109375" style="10"/>
    <col min="2790" max="2793" width="3" style="10" customWidth="1"/>
    <col min="2794" max="2799" width="2.5703125" style="10" customWidth="1"/>
    <col min="2800" max="2823" width="3" style="10" customWidth="1"/>
    <col min="2824" max="2824" width="2.7109375" style="10"/>
    <col min="2825" max="2825" width="0.85546875" style="10" customWidth="1"/>
    <col min="2826" max="3043" width="2.7109375" style="10"/>
    <col min="3044" max="3044" width="0.7109375" style="10" customWidth="1"/>
    <col min="3045" max="3045" width="2.7109375" style="10"/>
    <col min="3046" max="3049" width="3" style="10" customWidth="1"/>
    <col min="3050" max="3055" width="2.5703125" style="10" customWidth="1"/>
    <col min="3056" max="3079" width="3" style="10" customWidth="1"/>
    <col min="3080" max="3080" width="2.7109375" style="10"/>
    <col min="3081" max="3081" width="0.85546875" style="10" customWidth="1"/>
    <col min="3082" max="3299" width="2.7109375" style="10"/>
    <col min="3300" max="3300" width="0.7109375" style="10" customWidth="1"/>
    <col min="3301" max="3301" width="2.7109375" style="10"/>
    <col min="3302" max="3305" width="3" style="10" customWidth="1"/>
    <col min="3306" max="3311" width="2.5703125" style="10" customWidth="1"/>
    <col min="3312" max="3335" width="3" style="10" customWidth="1"/>
    <col min="3336" max="3336" width="2.7109375" style="10"/>
    <col min="3337" max="3337" width="0.85546875" style="10" customWidth="1"/>
    <col min="3338" max="3555" width="2.7109375" style="10"/>
    <col min="3556" max="3556" width="0.7109375" style="10" customWidth="1"/>
    <col min="3557" max="3557" width="2.7109375" style="10"/>
    <col min="3558" max="3561" width="3" style="10" customWidth="1"/>
    <col min="3562" max="3567" width="2.5703125" style="10" customWidth="1"/>
    <col min="3568" max="3591" width="3" style="10" customWidth="1"/>
    <col min="3592" max="3592" width="2.7109375" style="10"/>
    <col min="3593" max="3593" width="0.85546875" style="10" customWidth="1"/>
    <col min="3594" max="3811" width="2.7109375" style="10"/>
    <col min="3812" max="3812" width="0.7109375" style="10" customWidth="1"/>
    <col min="3813" max="3813" width="2.7109375" style="10"/>
    <col min="3814" max="3817" width="3" style="10" customWidth="1"/>
    <col min="3818" max="3823" width="2.5703125" style="10" customWidth="1"/>
    <col min="3824" max="3847" width="3" style="10" customWidth="1"/>
    <col min="3848" max="3848" width="2.7109375" style="10"/>
    <col min="3849" max="3849" width="0.85546875" style="10" customWidth="1"/>
    <col min="3850" max="4067" width="2.7109375" style="10"/>
    <col min="4068" max="4068" width="0.7109375" style="10" customWidth="1"/>
    <col min="4069" max="4069" width="2.7109375" style="10"/>
    <col min="4070" max="4073" width="3" style="10" customWidth="1"/>
    <col min="4074" max="4079" width="2.5703125" style="10" customWidth="1"/>
    <col min="4080" max="4103" width="3" style="10" customWidth="1"/>
    <col min="4104" max="4104" width="2.7109375" style="10"/>
    <col min="4105" max="4105" width="0.85546875" style="10" customWidth="1"/>
    <col min="4106" max="4323" width="2.7109375" style="10"/>
    <col min="4324" max="4324" width="0.7109375" style="10" customWidth="1"/>
    <col min="4325" max="4325" width="2.7109375" style="10"/>
    <col min="4326" max="4329" width="3" style="10" customWidth="1"/>
    <col min="4330" max="4335" width="2.5703125" style="10" customWidth="1"/>
    <col min="4336" max="4359" width="3" style="10" customWidth="1"/>
    <col min="4360" max="4360" width="2.7109375" style="10"/>
    <col min="4361" max="4361" width="0.85546875" style="10" customWidth="1"/>
    <col min="4362" max="4579" width="2.7109375" style="10"/>
    <col min="4580" max="4580" width="0.7109375" style="10" customWidth="1"/>
    <col min="4581" max="4581" width="2.7109375" style="10"/>
    <col min="4582" max="4585" width="3" style="10" customWidth="1"/>
    <col min="4586" max="4591" width="2.5703125" style="10" customWidth="1"/>
    <col min="4592" max="4615" width="3" style="10" customWidth="1"/>
    <col min="4616" max="4616" width="2.7109375" style="10"/>
    <col min="4617" max="4617" width="0.85546875" style="10" customWidth="1"/>
    <col min="4618" max="4835" width="2.7109375" style="10"/>
    <col min="4836" max="4836" width="0.7109375" style="10" customWidth="1"/>
    <col min="4837" max="4837" width="2.7109375" style="10"/>
    <col min="4838" max="4841" width="3" style="10" customWidth="1"/>
    <col min="4842" max="4847" width="2.5703125" style="10" customWidth="1"/>
    <col min="4848" max="4871" width="3" style="10" customWidth="1"/>
    <col min="4872" max="4872" width="2.7109375" style="10"/>
    <col min="4873" max="4873" width="0.85546875" style="10" customWidth="1"/>
    <col min="4874" max="5091" width="2.7109375" style="10"/>
    <col min="5092" max="5092" width="0.7109375" style="10" customWidth="1"/>
    <col min="5093" max="5093" width="2.7109375" style="10"/>
    <col min="5094" max="5097" width="3" style="10" customWidth="1"/>
    <col min="5098" max="5103" width="2.5703125" style="10" customWidth="1"/>
    <col min="5104" max="5127" width="3" style="10" customWidth="1"/>
    <col min="5128" max="5128" width="2.7109375" style="10"/>
    <col min="5129" max="5129" width="0.85546875" style="10" customWidth="1"/>
    <col min="5130" max="5347" width="2.7109375" style="10"/>
    <col min="5348" max="5348" width="0.7109375" style="10" customWidth="1"/>
    <col min="5349" max="5349" width="2.7109375" style="10"/>
    <col min="5350" max="5353" width="3" style="10" customWidth="1"/>
    <col min="5354" max="5359" width="2.5703125" style="10" customWidth="1"/>
    <col min="5360" max="5383" width="3" style="10" customWidth="1"/>
    <col min="5384" max="5384" width="2.7109375" style="10"/>
    <col min="5385" max="5385" width="0.85546875" style="10" customWidth="1"/>
    <col min="5386" max="5603" width="2.7109375" style="10"/>
    <col min="5604" max="5604" width="0.7109375" style="10" customWidth="1"/>
    <col min="5605" max="5605" width="2.7109375" style="10"/>
    <col min="5606" max="5609" width="3" style="10" customWidth="1"/>
    <col min="5610" max="5615" width="2.5703125" style="10" customWidth="1"/>
    <col min="5616" max="5639" width="3" style="10" customWidth="1"/>
    <col min="5640" max="5640" width="2.7109375" style="10"/>
    <col min="5641" max="5641" width="0.85546875" style="10" customWidth="1"/>
    <col min="5642" max="5859" width="2.7109375" style="10"/>
    <col min="5860" max="5860" width="0.7109375" style="10" customWidth="1"/>
    <col min="5861" max="5861" width="2.7109375" style="10"/>
    <col min="5862" max="5865" width="3" style="10" customWidth="1"/>
    <col min="5866" max="5871" width="2.5703125" style="10" customWidth="1"/>
    <col min="5872" max="5895" width="3" style="10" customWidth="1"/>
    <col min="5896" max="5896" width="2.7109375" style="10"/>
    <col min="5897" max="5897" width="0.85546875" style="10" customWidth="1"/>
    <col min="5898" max="6115" width="2.7109375" style="10"/>
    <col min="6116" max="6116" width="0.7109375" style="10" customWidth="1"/>
    <col min="6117" max="6117" width="2.7109375" style="10"/>
    <col min="6118" max="6121" width="3" style="10" customWidth="1"/>
    <col min="6122" max="6127" width="2.5703125" style="10" customWidth="1"/>
    <col min="6128" max="6151" width="3" style="10" customWidth="1"/>
    <col min="6152" max="6152" width="2.7109375" style="10"/>
    <col min="6153" max="6153" width="0.85546875" style="10" customWidth="1"/>
    <col min="6154" max="6371" width="2.7109375" style="10"/>
    <col min="6372" max="6372" width="0.7109375" style="10" customWidth="1"/>
    <col min="6373" max="6373" width="2.7109375" style="10"/>
    <col min="6374" max="6377" width="3" style="10" customWidth="1"/>
    <col min="6378" max="6383" width="2.5703125" style="10" customWidth="1"/>
    <col min="6384" max="6407" width="3" style="10" customWidth="1"/>
    <col min="6408" max="6408" width="2.7109375" style="10"/>
    <col min="6409" max="6409" width="0.85546875" style="10" customWidth="1"/>
    <col min="6410" max="6627" width="2.7109375" style="10"/>
    <col min="6628" max="6628" width="0.7109375" style="10" customWidth="1"/>
    <col min="6629" max="6629" width="2.7109375" style="10"/>
    <col min="6630" max="6633" width="3" style="10" customWidth="1"/>
    <col min="6634" max="6639" width="2.5703125" style="10" customWidth="1"/>
    <col min="6640" max="6663" width="3" style="10" customWidth="1"/>
    <col min="6664" max="6664" width="2.7109375" style="10"/>
    <col min="6665" max="6665" width="0.85546875" style="10" customWidth="1"/>
    <col min="6666" max="6883" width="2.7109375" style="10"/>
    <col min="6884" max="6884" width="0.7109375" style="10" customWidth="1"/>
    <col min="6885" max="6885" width="2.7109375" style="10"/>
    <col min="6886" max="6889" width="3" style="10" customWidth="1"/>
    <col min="6890" max="6895" width="2.5703125" style="10" customWidth="1"/>
    <col min="6896" max="6919" width="3" style="10" customWidth="1"/>
    <col min="6920" max="6920" width="2.7109375" style="10"/>
    <col min="6921" max="6921" width="0.85546875" style="10" customWidth="1"/>
    <col min="6922" max="7139" width="2.7109375" style="10"/>
    <col min="7140" max="7140" width="0.7109375" style="10" customWidth="1"/>
    <col min="7141" max="7141" width="2.7109375" style="10"/>
    <col min="7142" max="7145" width="3" style="10" customWidth="1"/>
    <col min="7146" max="7151" width="2.5703125" style="10" customWidth="1"/>
    <col min="7152" max="7175" width="3" style="10" customWidth="1"/>
    <col min="7176" max="7176" width="2.7109375" style="10"/>
    <col min="7177" max="7177" width="0.85546875" style="10" customWidth="1"/>
    <col min="7178" max="7395" width="2.7109375" style="10"/>
    <col min="7396" max="7396" width="0.7109375" style="10" customWidth="1"/>
    <col min="7397" max="7397" width="2.7109375" style="10"/>
    <col min="7398" max="7401" width="3" style="10" customWidth="1"/>
    <col min="7402" max="7407" width="2.5703125" style="10" customWidth="1"/>
    <col min="7408" max="7431" width="3" style="10" customWidth="1"/>
    <col min="7432" max="7432" width="2.7109375" style="10"/>
    <col min="7433" max="7433" width="0.85546875" style="10" customWidth="1"/>
    <col min="7434" max="7651" width="2.7109375" style="10"/>
    <col min="7652" max="7652" width="0.7109375" style="10" customWidth="1"/>
    <col min="7653" max="7653" width="2.7109375" style="10"/>
    <col min="7654" max="7657" width="3" style="10" customWidth="1"/>
    <col min="7658" max="7663" width="2.5703125" style="10" customWidth="1"/>
    <col min="7664" max="7687" width="3" style="10" customWidth="1"/>
    <col min="7688" max="7688" width="2.7109375" style="10"/>
    <col min="7689" max="7689" width="0.85546875" style="10" customWidth="1"/>
    <col min="7690" max="7907" width="2.7109375" style="10"/>
    <col min="7908" max="7908" width="0.7109375" style="10" customWidth="1"/>
    <col min="7909" max="7909" width="2.7109375" style="10"/>
    <col min="7910" max="7913" width="3" style="10" customWidth="1"/>
    <col min="7914" max="7919" width="2.5703125" style="10" customWidth="1"/>
    <col min="7920" max="7943" width="3" style="10" customWidth="1"/>
    <col min="7944" max="7944" width="2.7109375" style="10"/>
    <col min="7945" max="7945" width="0.85546875" style="10" customWidth="1"/>
    <col min="7946" max="8163" width="2.7109375" style="10"/>
    <col min="8164" max="8164" width="0.7109375" style="10" customWidth="1"/>
    <col min="8165" max="8165" width="2.7109375" style="10"/>
    <col min="8166" max="8169" width="3" style="10" customWidth="1"/>
    <col min="8170" max="8175" width="2.5703125" style="10" customWidth="1"/>
    <col min="8176" max="8199" width="3" style="10" customWidth="1"/>
    <col min="8200" max="8200" width="2.7109375" style="10"/>
    <col min="8201" max="8201" width="0.85546875" style="10" customWidth="1"/>
    <col min="8202" max="8419" width="2.7109375" style="10"/>
    <col min="8420" max="8420" width="0.7109375" style="10" customWidth="1"/>
    <col min="8421" max="8421" width="2.7109375" style="10"/>
    <col min="8422" max="8425" width="3" style="10" customWidth="1"/>
    <col min="8426" max="8431" width="2.5703125" style="10" customWidth="1"/>
    <col min="8432" max="8455" width="3" style="10" customWidth="1"/>
    <col min="8456" max="8456" width="2.7109375" style="10"/>
    <col min="8457" max="8457" width="0.85546875" style="10" customWidth="1"/>
    <col min="8458" max="8675" width="2.7109375" style="10"/>
    <col min="8676" max="8676" width="0.7109375" style="10" customWidth="1"/>
    <col min="8677" max="8677" width="2.7109375" style="10"/>
    <col min="8678" max="8681" width="3" style="10" customWidth="1"/>
    <col min="8682" max="8687" width="2.5703125" style="10" customWidth="1"/>
    <col min="8688" max="8711" width="3" style="10" customWidth="1"/>
    <col min="8712" max="8712" width="2.7109375" style="10"/>
    <col min="8713" max="8713" width="0.85546875" style="10" customWidth="1"/>
    <col min="8714" max="8931" width="2.7109375" style="10"/>
    <col min="8932" max="8932" width="0.7109375" style="10" customWidth="1"/>
    <col min="8933" max="8933" width="2.7109375" style="10"/>
    <col min="8934" max="8937" width="3" style="10" customWidth="1"/>
    <col min="8938" max="8943" width="2.5703125" style="10" customWidth="1"/>
    <col min="8944" max="8967" width="3" style="10" customWidth="1"/>
    <col min="8968" max="8968" width="2.7109375" style="10"/>
    <col min="8969" max="8969" width="0.85546875" style="10" customWidth="1"/>
    <col min="8970" max="9187" width="2.7109375" style="10"/>
    <col min="9188" max="9188" width="0.7109375" style="10" customWidth="1"/>
    <col min="9189" max="9189" width="2.7109375" style="10"/>
    <col min="9190" max="9193" width="3" style="10" customWidth="1"/>
    <col min="9194" max="9199" width="2.5703125" style="10" customWidth="1"/>
    <col min="9200" max="9223" width="3" style="10" customWidth="1"/>
    <col min="9224" max="9224" width="2.7109375" style="10"/>
    <col min="9225" max="9225" width="0.85546875" style="10" customWidth="1"/>
    <col min="9226" max="9443" width="2.7109375" style="10"/>
    <col min="9444" max="9444" width="0.7109375" style="10" customWidth="1"/>
    <col min="9445" max="9445" width="2.7109375" style="10"/>
    <col min="9446" max="9449" width="3" style="10" customWidth="1"/>
    <col min="9450" max="9455" width="2.5703125" style="10" customWidth="1"/>
    <col min="9456" max="9479" width="3" style="10" customWidth="1"/>
    <col min="9480" max="9480" width="2.7109375" style="10"/>
    <col min="9481" max="9481" width="0.85546875" style="10" customWidth="1"/>
    <col min="9482" max="9699" width="2.7109375" style="10"/>
    <col min="9700" max="9700" width="0.7109375" style="10" customWidth="1"/>
    <col min="9701" max="9701" width="2.7109375" style="10"/>
    <col min="9702" max="9705" width="3" style="10" customWidth="1"/>
    <col min="9706" max="9711" width="2.5703125" style="10" customWidth="1"/>
    <col min="9712" max="9735" width="3" style="10" customWidth="1"/>
    <col min="9736" max="9736" width="2.7109375" style="10"/>
    <col min="9737" max="9737" width="0.85546875" style="10" customWidth="1"/>
    <col min="9738" max="9955" width="2.7109375" style="10"/>
    <col min="9956" max="9956" width="0.7109375" style="10" customWidth="1"/>
    <col min="9957" max="9957" width="2.7109375" style="10"/>
    <col min="9958" max="9961" width="3" style="10" customWidth="1"/>
    <col min="9962" max="9967" width="2.5703125" style="10" customWidth="1"/>
    <col min="9968" max="9991" width="3" style="10" customWidth="1"/>
    <col min="9992" max="9992" width="2.7109375" style="10"/>
    <col min="9993" max="9993" width="0.85546875" style="10" customWidth="1"/>
    <col min="9994" max="10211" width="2.7109375" style="10"/>
    <col min="10212" max="10212" width="0.7109375" style="10" customWidth="1"/>
    <col min="10213" max="10213" width="2.7109375" style="10"/>
    <col min="10214" max="10217" width="3" style="10" customWidth="1"/>
    <col min="10218" max="10223" width="2.5703125" style="10" customWidth="1"/>
    <col min="10224" max="10247" width="3" style="10" customWidth="1"/>
    <col min="10248" max="10248" width="2.7109375" style="10"/>
    <col min="10249" max="10249" width="0.85546875" style="10" customWidth="1"/>
    <col min="10250" max="10467" width="2.7109375" style="10"/>
    <col min="10468" max="10468" width="0.7109375" style="10" customWidth="1"/>
    <col min="10469" max="10469" width="2.7109375" style="10"/>
    <col min="10470" max="10473" width="3" style="10" customWidth="1"/>
    <col min="10474" max="10479" width="2.5703125" style="10" customWidth="1"/>
    <col min="10480" max="10503" width="3" style="10" customWidth="1"/>
    <col min="10504" max="10504" width="2.7109375" style="10"/>
    <col min="10505" max="10505" width="0.85546875" style="10" customWidth="1"/>
    <col min="10506" max="10723" width="2.7109375" style="10"/>
    <col min="10724" max="10724" width="0.7109375" style="10" customWidth="1"/>
    <col min="10725" max="10725" width="2.7109375" style="10"/>
    <col min="10726" max="10729" width="3" style="10" customWidth="1"/>
    <col min="10730" max="10735" width="2.5703125" style="10" customWidth="1"/>
    <col min="10736" max="10759" width="3" style="10" customWidth="1"/>
    <col min="10760" max="10760" width="2.7109375" style="10"/>
    <col min="10761" max="10761" width="0.85546875" style="10" customWidth="1"/>
    <col min="10762" max="10979" width="2.7109375" style="10"/>
    <col min="10980" max="10980" width="0.7109375" style="10" customWidth="1"/>
    <col min="10981" max="10981" width="2.7109375" style="10"/>
    <col min="10982" max="10985" width="3" style="10" customWidth="1"/>
    <col min="10986" max="10991" width="2.5703125" style="10" customWidth="1"/>
    <col min="10992" max="11015" width="3" style="10" customWidth="1"/>
    <col min="11016" max="11016" width="2.7109375" style="10"/>
    <col min="11017" max="11017" width="0.85546875" style="10" customWidth="1"/>
    <col min="11018" max="11235" width="2.7109375" style="10"/>
    <col min="11236" max="11236" width="0.7109375" style="10" customWidth="1"/>
    <col min="11237" max="11237" width="2.7109375" style="10"/>
    <col min="11238" max="11241" width="3" style="10" customWidth="1"/>
    <col min="11242" max="11247" width="2.5703125" style="10" customWidth="1"/>
    <col min="11248" max="11271" width="3" style="10" customWidth="1"/>
    <col min="11272" max="11272" width="2.7109375" style="10"/>
    <col min="11273" max="11273" width="0.85546875" style="10" customWidth="1"/>
    <col min="11274" max="11491" width="2.7109375" style="10"/>
    <col min="11492" max="11492" width="0.7109375" style="10" customWidth="1"/>
    <col min="11493" max="11493" width="2.7109375" style="10"/>
    <col min="11494" max="11497" width="3" style="10" customWidth="1"/>
    <col min="11498" max="11503" width="2.5703125" style="10" customWidth="1"/>
    <col min="11504" max="11527" width="3" style="10" customWidth="1"/>
    <col min="11528" max="11528" width="2.7109375" style="10"/>
    <col min="11529" max="11529" width="0.85546875" style="10" customWidth="1"/>
    <col min="11530" max="11747" width="2.7109375" style="10"/>
    <col min="11748" max="11748" width="0.7109375" style="10" customWidth="1"/>
    <col min="11749" max="11749" width="2.7109375" style="10"/>
    <col min="11750" max="11753" width="3" style="10" customWidth="1"/>
    <col min="11754" max="11759" width="2.5703125" style="10" customWidth="1"/>
    <col min="11760" max="11783" width="3" style="10" customWidth="1"/>
    <col min="11784" max="11784" width="2.7109375" style="10"/>
    <col min="11785" max="11785" width="0.85546875" style="10" customWidth="1"/>
    <col min="11786" max="12003" width="2.7109375" style="10"/>
    <col min="12004" max="12004" width="0.7109375" style="10" customWidth="1"/>
    <col min="12005" max="12005" width="2.7109375" style="10"/>
    <col min="12006" max="12009" width="3" style="10" customWidth="1"/>
    <col min="12010" max="12015" width="2.5703125" style="10" customWidth="1"/>
    <col min="12016" max="12039" width="3" style="10" customWidth="1"/>
    <col min="12040" max="12040" width="2.7109375" style="10"/>
    <col min="12041" max="12041" width="0.85546875" style="10" customWidth="1"/>
    <col min="12042" max="12259" width="2.7109375" style="10"/>
    <col min="12260" max="12260" width="0.7109375" style="10" customWidth="1"/>
    <col min="12261" max="12261" width="2.7109375" style="10"/>
    <col min="12262" max="12265" width="3" style="10" customWidth="1"/>
    <col min="12266" max="12271" width="2.5703125" style="10" customWidth="1"/>
    <col min="12272" max="12295" width="3" style="10" customWidth="1"/>
    <col min="12296" max="12296" width="2.7109375" style="10"/>
    <col min="12297" max="12297" width="0.85546875" style="10" customWidth="1"/>
    <col min="12298" max="12515" width="2.7109375" style="10"/>
    <col min="12516" max="12516" width="0.7109375" style="10" customWidth="1"/>
    <col min="12517" max="12517" width="2.7109375" style="10"/>
    <col min="12518" max="12521" width="3" style="10" customWidth="1"/>
    <col min="12522" max="12527" width="2.5703125" style="10" customWidth="1"/>
    <col min="12528" max="12551" width="3" style="10" customWidth="1"/>
    <col min="12552" max="12552" width="2.7109375" style="10"/>
    <col min="12553" max="12553" width="0.85546875" style="10" customWidth="1"/>
    <col min="12554" max="12771" width="2.7109375" style="10"/>
    <col min="12772" max="12772" width="0.7109375" style="10" customWidth="1"/>
    <col min="12773" max="12773" width="2.7109375" style="10"/>
    <col min="12774" max="12777" width="3" style="10" customWidth="1"/>
    <col min="12778" max="12783" width="2.5703125" style="10" customWidth="1"/>
    <col min="12784" max="12807" width="3" style="10" customWidth="1"/>
    <col min="12808" max="12808" width="2.7109375" style="10"/>
    <col min="12809" max="12809" width="0.85546875" style="10" customWidth="1"/>
    <col min="12810" max="13027" width="2.7109375" style="10"/>
    <col min="13028" max="13028" width="0.7109375" style="10" customWidth="1"/>
    <col min="13029" max="13029" width="2.7109375" style="10"/>
    <col min="13030" max="13033" width="3" style="10" customWidth="1"/>
    <col min="13034" max="13039" width="2.5703125" style="10" customWidth="1"/>
    <col min="13040" max="13063" width="3" style="10" customWidth="1"/>
    <col min="13064" max="13064" width="2.7109375" style="10"/>
    <col min="13065" max="13065" width="0.85546875" style="10" customWidth="1"/>
    <col min="13066" max="13283" width="2.7109375" style="10"/>
    <col min="13284" max="13284" width="0.7109375" style="10" customWidth="1"/>
    <col min="13285" max="13285" width="2.7109375" style="10"/>
    <col min="13286" max="13289" width="3" style="10" customWidth="1"/>
    <col min="13290" max="13295" width="2.5703125" style="10" customWidth="1"/>
    <col min="13296" max="13319" width="3" style="10" customWidth="1"/>
    <col min="13320" max="13320" width="2.7109375" style="10"/>
    <col min="13321" max="13321" width="0.85546875" style="10" customWidth="1"/>
    <col min="13322" max="13539" width="2.7109375" style="10"/>
    <col min="13540" max="13540" width="0.7109375" style="10" customWidth="1"/>
    <col min="13541" max="13541" width="2.7109375" style="10"/>
    <col min="13542" max="13545" width="3" style="10" customWidth="1"/>
    <col min="13546" max="13551" width="2.5703125" style="10" customWidth="1"/>
    <col min="13552" max="13575" width="3" style="10" customWidth="1"/>
    <col min="13576" max="13576" width="2.7109375" style="10"/>
    <col min="13577" max="13577" width="0.85546875" style="10" customWidth="1"/>
    <col min="13578" max="13795" width="2.7109375" style="10"/>
    <col min="13796" max="13796" width="0.7109375" style="10" customWidth="1"/>
    <col min="13797" max="13797" width="2.7109375" style="10"/>
    <col min="13798" max="13801" width="3" style="10" customWidth="1"/>
    <col min="13802" max="13807" width="2.5703125" style="10" customWidth="1"/>
    <col min="13808" max="13831" width="3" style="10" customWidth="1"/>
    <col min="13832" max="13832" width="2.7109375" style="10"/>
    <col min="13833" max="13833" width="0.85546875" style="10" customWidth="1"/>
    <col min="13834" max="14051" width="2.7109375" style="10"/>
    <col min="14052" max="14052" width="0.7109375" style="10" customWidth="1"/>
    <col min="14053" max="14053" width="2.7109375" style="10"/>
    <col min="14054" max="14057" width="3" style="10" customWidth="1"/>
    <col min="14058" max="14063" width="2.5703125" style="10" customWidth="1"/>
    <col min="14064" max="14087" width="3" style="10" customWidth="1"/>
    <col min="14088" max="14088" width="2.7109375" style="10"/>
    <col min="14089" max="14089" width="0.85546875" style="10" customWidth="1"/>
    <col min="14090" max="14307" width="2.7109375" style="10"/>
    <col min="14308" max="14308" width="0.7109375" style="10" customWidth="1"/>
    <col min="14309" max="14309" width="2.7109375" style="10"/>
    <col min="14310" max="14313" width="3" style="10" customWidth="1"/>
    <col min="14314" max="14319" width="2.5703125" style="10" customWidth="1"/>
    <col min="14320" max="14343" width="3" style="10" customWidth="1"/>
    <col min="14344" max="14344" width="2.7109375" style="10"/>
    <col min="14345" max="14345" width="0.85546875" style="10" customWidth="1"/>
    <col min="14346" max="14563" width="2.7109375" style="10"/>
    <col min="14564" max="14564" width="0.7109375" style="10" customWidth="1"/>
    <col min="14565" max="14565" width="2.7109375" style="10"/>
    <col min="14566" max="14569" width="3" style="10" customWidth="1"/>
    <col min="14570" max="14575" width="2.5703125" style="10" customWidth="1"/>
    <col min="14576" max="14599" width="3" style="10" customWidth="1"/>
    <col min="14600" max="14600" width="2.7109375" style="10"/>
    <col min="14601" max="14601" width="0.85546875" style="10" customWidth="1"/>
    <col min="14602" max="14819" width="2.7109375" style="10"/>
    <col min="14820" max="14820" width="0.7109375" style="10" customWidth="1"/>
    <col min="14821" max="14821" width="2.7109375" style="10"/>
    <col min="14822" max="14825" width="3" style="10" customWidth="1"/>
    <col min="14826" max="14831" width="2.5703125" style="10" customWidth="1"/>
    <col min="14832" max="14855" width="3" style="10" customWidth="1"/>
    <col min="14856" max="14856" width="2.7109375" style="10"/>
    <col min="14857" max="14857" width="0.85546875" style="10" customWidth="1"/>
    <col min="14858" max="15075" width="2.7109375" style="10"/>
    <col min="15076" max="15076" width="0.7109375" style="10" customWidth="1"/>
    <col min="15077" max="15077" width="2.7109375" style="10"/>
    <col min="15078" max="15081" width="3" style="10" customWidth="1"/>
    <col min="15082" max="15087" width="2.5703125" style="10" customWidth="1"/>
    <col min="15088" max="15111" width="3" style="10" customWidth="1"/>
    <col min="15112" max="15112" width="2.7109375" style="10"/>
    <col min="15113" max="15113" width="0.85546875" style="10" customWidth="1"/>
    <col min="15114" max="15331" width="2.7109375" style="10"/>
    <col min="15332" max="15332" width="0.7109375" style="10" customWidth="1"/>
    <col min="15333" max="15333" width="2.7109375" style="10"/>
    <col min="15334" max="15337" width="3" style="10" customWidth="1"/>
    <col min="15338" max="15343" width="2.5703125" style="10" customWidth="1"/>
    <col min="15344" max="15367" width="3" style="10" customWidth="1"/>
    <col min="15368" max="15368" width="2.7109375" style="10"/>
    <col min="15369" max="15369" width="0.85546875" style="10" customWidth="1"/>
    <col min="15370" max="15587" width="2.7109375" style="10"/>
    <col min="15588" max="15588" width="0.7109375" style="10" customWidth="1"/>
    <col min="15589" max="15589" width="2.7109375" style="10"/>
    <col min="15590" max="15593" width="3" style="10" customWidth="1"/>
    <col min="15594" max="15599" width="2.5703125" style="10" customWidth="1"/>
    <col min="15600" max="15623" width="3" style="10" customWidth="1"/>
    <col min="15624" max="15624" width="2.7109375" style="10"/>
    <col min="15625" max="15625" width="0.85546875" style="10" customWidth="1"/>
    <col min="15626" max="15843" width="2.7109375" style="10"/>
    <col min="15844" max="15844" width="0.7109375" style="10" customWidth="1"/>
    <col min="15845" max="15845" width="2.7109375" style="10"/>
    <col min="15846" max="15849" width="3" style="10" customWidth="1"/>
    <col min="15850" max="15855" width="2.5703125" style="10" customWidth="1"/>
    <col min="15856" max="15879" width="3" style="10" customWidth="1"/>
    <col min="15880" max="15880" width="2.7109375" style="10"/>
    <col min="15881" max="15881" width="0.85546875" style="10" customWidth="1"/>
    <col min="15882" max="16099" width="2.7109375" style="10"/>
    <col min="16100" max="16100" width="0.7109375" style="10" customWidth="1"/>
    <col min="16101" max="16101" width="2.7109375" style="10"/>
    <col min="16102" max="16105" width="3" style="10" customWidth="1"/>
    <col min="16106" max="16111" width="2.5703125" style="10" customWidth="1"/>
    <col min="16112" max="16135" width="3" style="10" customWidth="1"/>
    <col min="16136" max="16136" width="2.7109375" style="10"/>
    <col min="16137" max="16137" width="0.85546875" style="10" customWidth="1"/>
    <col min="16138" max="16384" width="2.7109375" style="10"/>
  </cols>
  <sheetData>
    <row r="1" spans="1:40" ht="9.9499999999999993" customHeight="1" x14ac:dyDescent="0.25"/>
    <row r="2" spans="1:40" ht="9.9499999999999993" customHeight="1" x14ac:dyDescent="0.25">
      <c r="B2" s="16"/>
      <c r="C2" s="17"/>
      <c r="D2" s="17"/>
      <c r="E2" s="17"/>
      <c r="F2" s="17"/>
      <c r="G2" s="17"/>
      <c r="H2" s="128" t="s">
        <v>533</v>
      </c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7"/>
      <c r="AD2" s="17"/>
      <c r="AE2" s="17"/>
      <c r="AF2" s="17"/>
      <c r="AG2" s="17"/>
      <c r="AH2" s="17"/>
      <c r="AI2" s="17"/>
      <c r="AJ2" s="17"/>
      <c r="AK2" s="18"/>
    </row>
    <row r="3" spans="1:40" ht="27" customHeight="1" x14ac:dyDescent="0.25">
      <c r="B3" s="1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J3" s="20"/>
      <c r="AK3" s="21"/>
    </row>
    <row r="4" spans="1:40" ht="7.5" customHeight="1" x14ac:dyDescent="0.25">
      <c r="B4" s="19"/>
      <c r="AK4" s="21"/>
    </row>
    <row r="5" spans="1:40" s="11" customFormat="1" ht="13.5" customHeight="1" x14ac:dyDescent="0.25">
      <c r="A5" s="22"/>
      <c r="B5" s="23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130" t="s">
        <v>534</v>
      </c>
      <c r="W5" s="131"/>
      <c r="X5" s="131"/>
      <c r="Y5" s="131"/>
      <c r="Z5" s="131"/>
      <c r="AA5" s="131"/>
      <c r="AB5" s="131"/>
      <c r="AC5" s="131"/>
      <c r="AD5" s="131"/>
      <c r="AE5" s="132"/>
      <c r="AF5" s="133" t="s">
        <v>535</v>
      </c>
      <c r="AG5" s="133"/>
      <c r="AH5" s="133"/>
      <c r="AI5" s="133"/>
      <c r="AJ5" s="134"/>
      <c r="AK5" s="24"/>
      <c r="AL5" s="22"/>
    </row>
    <row r="6" spans="1:40" s="11" customFormat="1" ht="13.5" customHeight="1" x14ac:dyDescent="0.25">
      <c r="A6" s="22"/>
      <c r="B6" s="23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130" t="s">
        <v>536</v>
      </c>
      <c r="W6" s="131"/>
      <c r="X6" s="131"/>
      <c r="Y6" s="131"/>
      <c r="Z6" s="135"/>
      <c r="AA6" s="130" t="s">
        <v>537</v>
      </c>
      <c r="AB6" s="131"/>
      <c r="AC6" s="131"/>
      <c r="AD6" s="131"/>
      <c r="AE6" s="132"/>
      <c r="AF6" s="136" t="s">
        <v>538</v>
      </c>
      <c r="AG6" s="136"/>
      <c r="AH6" s="136"/>
      <c r="AI6" s="136"/>
      <c r="AJ6" s="137"/>
      <c r="AK6" s="24"/>
      <c r="AL6" s="22"/>
    </row>
    <row r="7" spans="1:40" s="11" customFormat="1" ht="13.5" customHeight="1" x14ac:dyDescent="0.25">
      <c r="A7" s="22"/>
      <c r="B7" s="23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5"/>
      <c r="W7" s="26"/>
      <c r="X7" s="26"/>
      <c r="Y7" s="26"/>
      <c r="Z7" s="27"/>
      <c r="AA7" s="25"/>
      <c r="AB7" s="26"/>
      <c r="AC7" s="26"/>
      <c r="AD7" s="26"/>
      <c r="AE7" s="28"/>
      <c r="AF7" s="22"/>
      <c r="AG7" s="22"/>
      <c r="AH7" s="22"/>
      <c r="AI7" s="22"/>
      <c r="AJ7" s="24"/>
      <c r="AK7" s="24"/>
      <c r="AL7" s="22"/>
    </row>
    <row r="8" spans="1:40" s="11" customFormat="1" ht="13.5" customHeight="1" x14ac:dyDescent="0.2">
      <c r="A8" s="22"/>
      <c r="B8" s="23"/>
      <c r="C8" s="29" t="s">
        <v>539</v>
      </c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3"/>
      <c r="W8" s="22"/>
      <c r="X8" s="22"/>
      <c r="Y8" s="22"/>
      <c r="Z8" s="24"/>
      <c r="AA8" s="23"/>
      <c r="AB8" s="22"/>
      <c r="AC8" s="22"/>
      <c r="AD8" s="22"/>
      <c r="AE8" s="30"/>
      <c r="AF8" s="22"/>
      <c r="AG8" s="22"/>
      <c r="AH8" s="22"/>
      <c r="AI8" s="22"/>
      <c r="AJ8" s="24"/>
      <c r="AK8" s="24"/>
      <c r="AL8" s="22"/>
    </row>
    <row r="9" spans="1:40" s="11" customFormat="1" ht="13.5" customHeight="1" x14ac:dyDescent="0.25">
      <c r="A9" s="22"/>
      <c r="B9" s="23"/>
      <c r="C9" s="22"/>
      <c r="D9" s="22"/>
      <c r="E9" s="22"/>
      <c r="F9" s="22"/>
      <c r="G9" s="22"/>
      <c r="H9" s="22"/>
      <c r="I9" s="22"/>
      <c r="J9" s="138" t="s">
        <v>540</v>
      </c>
      <c r="K9" s="138"/>
      <c r="L9" s="138"/>
      <c r="M9" s="138"/>
      <c r="N9" s="138"/>
      <c r="O9" s="138"/>
      <c r="P9" s="138"/>
      <c r="Q9" s="138"/>
      <c r="R9" s="138"/>
      <c r="S9" s="138"/>
      <c r="T9" s="22"/>
      <c r="U9" s="22"/>
      <c r="V9" s="23"/>
      <c r="W9" s="22"/>
      <c r="X9" s="22"/>
      <c r="Y9" s="22"/>
      <c r="Z9" s="24"/>
      <c r="AA9" s="23"/>
      <c r="AB9" s="22"/>
      <c r="AC9" s="22"/>
      <c r="AD9" s="22"/>
      <c r="AE9" s="30"/>
      <c r="AF9" s="22"/>
      <c r="AG9" s="22"/>
      <c r="AH9" s="22"/>
      <c r="AI9" s="22"/>
      <c r="AJ9" s="24"/>
      <c r="AK9" s="24"/>
      <c r="AL9" s="22"/>
    </row>
    <row r="10" spans="1:40" s="11" customFormat="1" ht="13.5" customHeight="1" x14ac:dyDescent="0.25">
      <c r="A10" s="22"/>
      <c r="B10" s="23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3"/>
      <c r="W10" s="22"/>
      <c r="X10" s="22"/>
      <c r="Y10" s="22"/>
      <c r="Z10" s="24"/>
      <c r="AA10" s="23"/>
      <c r="AB10" s="22"/>
      <c r="AC10" s="22"/>
      <c r="AD10" s="22"/>
      <c r="AE10" s="30"/>
      <c r="AF10" s="22"/>
      <c r="AG10" s="22"/>
      <c r="AH10" s="22"/>
      <c r="AI10" s="22"/>
      <c r="AJ10" s="24"/>
      <c r="AK10" s="24"/>
      <c r="AL10" s="22"/>
    </row>
    <row r="11" spans="1:40" s="11" customFormat="1" ht="13.5" customHeight="1" x14ac:dyDescent="0.25">
      <c r="A11" s="22"/>
      <c r="B11" s="23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31"/>
      <c r="W11" s="32"/>
      <c r="X11" s="32"/>
      <c r="Y11" s="32"/>
      <c r="Z11" s="33"/>
      <c r="AA11" s="31"/>
      <c r="AB11" s="32"/>
      <c r="AC11" s="32"/>
      <c r="AD11" s="32"/>
      <c r="AE11" s="34"/>
      <c r="AF11" s="32"/>
      <c r="AG11" s="32"/>
      <c r="AH11" s="32"/>
      <c r="AI11" s="32"/>
      <c r="AJ11" s="33"/>
      <c r="AK11" s="24"/>
      <c r="AL11" s="22"/>
    </row>
    <row r="12" spans="1:40" s="11" customFormat="1" ht="13.5" customHeight="1" x14ac:dyDescent="0.25">
      <c r="A12" s="22"/>
      <c r="B12" s="23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3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4"/>
      <c r="AL12" s="22"/>
    </row>
    <row r="13" spans="1:40" s="12" customFormat="1" ht="21.75" customHeight="1" x14ac:dyDescent="0.25">
      <c r="A13" s="35"/>
      <c r="B13" s="36"/>
      <c r="C13" s="118" t="s">
        <v>604</v>
      </c>
      <c r="D13" s="119"/>
      <c r="E13" s="119"/>
      <c r="F13" s="119"/>
      <c r="G13" s="119"/>
      <c r="H13" s="119"/>
      <c r="I13" s="119"/>
      <c r="J13" s="106"/>
      <c r="K13" s="120"/>
      <c r="L13" s="121"/>
      <c r="M13" s="121"/>
      <c r="N13" s="121"/>
      <c r="O13" s="121"/>
      <c r="P13" s="121"/>
      <c r="Q13" s="121"/>
      <c r="R13" s="121"/>
      <c r="S13" s="122"/>
      <c r="T13" s="123" t="s">
        <v>541</v>
      </c>
      <c r="U13" s="119"/>
      <c r="V13" s="119"/>
      <c r="W13" s="119"/>
      <c r="X13" s="119"/>
      <c r="Y13" s="119"/>
      <c r="Z13" s="119"/>
      <c r="AA13" s="106"/>
      <c r="AB13" s="120"/>
      <c r="AC13" s="121"/>
      <c r="AD13" s="121"/>
      <c r="AE13" s="121"/>
      <c r="AF13" s="121"/>
      <c r="AG13" s="121"/>
      <c r="AH13" s="121"/>
      <c r="AI13" s="121"/>
      <c r="AJ13" s="122"/>
      <c r="AK13" s="37"/>
      <c r="AL13" s="35"/>
    </row>
    <row r="14" spans="1:40" s="12" customFormat="1" ht="21.75" customHeight="1" x14ac:dyDescent="0.25">
      <c r="A14" s="35"/>
      <c r="B14" s="36"/>
      <c r="C14" s="118" t="s">
        <v>543</v>
      </c>
      <c r="D14" s="119"/>
      <c r="E14" s="119"/>
      <c r="F14" s="119"/>
      <c r="G14" s="119"/>
      <c r="H14" s="119"/>
      <c r="I14" s="119"/>
      <c r="J14" s="106"/>
      <c r="K14" s="120"/>
      <c r="L14" s="121"/>
      <c r="M14" s="121"/>
      <c r="N14" s="121"/>
      <c r="O14" s="121"/>
      <c r="P14" s="121"/>
      <c r="Q14" s="121"/>
      <c r="R14" s="121"/>
      <c r="S14" s="122"/>
      <c r="T14" s="123" t="s">
        <v>544</v>
      </c>
      <c r="U14" s="119"/>
      <c r="V14" s="119"/>
      <c r="W14" s="119"/>
      <c r="X14" s="119"/>
      <c r="Y14" s="119"/>
      <c r="Z14" s="119"/>
      <c r="AA14" s="106"/>
      <c r="AB14" s="120"/>
      <c r="AC14" s="121"/>
      <c r="AD14" s="121"/>
      <c r="AE14" s="121"/>
      <c r="AF14" s="121"/>
      <c r="AG14" s="121"/>
      <c r="AH14" s="121"/>
      <c r="AI14" s="121"/>
      <c r="AJ14" s="122"/>
      <c r="AK14" s="37"/>
      <c r="AL14" s="35"/>
      <c r="AN14" s="13" t="s">
        <v>606</v>
      </c>
    </row>
    <row r="15" spans="1:40" s="12" customFormat="1" ht="21.75" customHeight="1" x14ac:dyDescent="0.25">
      <c r="A15" s="35"/>
      <c r="B15" s="36"/>
      <c r="C15" s="118" t="s">
        <v>546</v>
      </c>
      <c r="D15" s="119"/>
      <c r="E15" s="119"/>
      <c r="F15" s="119"/>
      <c r="G15" s="119"/>
      <c r="H15" s="119"/>
      <c r="I15" s="119"/>
      <c r="J15" s="106"/>
      <c r="K15" s="120"/>
      <c r="L15" s="121"/>
      <c r="M15" s="121"/>
      <c r="N15" s="121"/>
      <c r="O15" s="121"/>
      <c r="P15" s="121"/>
      <c r="Q15" s="121"/>
      <c r="R15" s="121"/>
      <c r="S15" s="122"/>
      <c r="T15" s="123" t="s">
        <v>547</v>
      </c>
      <c r="U15" s="119"/>
      <c r="V15" s="119"/>
      <c r="W15" s="119"/>
      <c r="X15" s="119"/>
      <c r="Y15" s="119"/>
      <c r="Z15" s="119"/>
      <c r="AA15" s="106"/>
      <c r="AB15" s="73"/>
      <c r="AC15" s="74"/>
      <c r="AD15" s="74"/>
      <c r="AE15" s="74"/>
      <c r="AF15" s="74"/>
      <c r="AG15" s="74"/>
      <c r="AH15" s="74"/>
      <c r="AI15" s="74"/>
      <c r="AJ15" s="75"/>
      <c r="AK15" s="37"/>
      <c r="AL15" s="35"/>
      <c r="AN15" s="14" t="str">
        <f>VLOOKUP(UPDATED!N1, UPDATED!A:J, 1,FALSE)</f>
        <v>165TSX</v>
      </c>
    </row>
    <row r="16" spans="1:40" s="12" customFormat="1" ht="21.75" customHeight="1" x14ac:dyDescent="0.25">
      <c r="A16" s="35"/>
      <c r="B16" s="36"/>
      <c r="C16" s="118" t="s">
        <v>549</v>
      </c>
      <c r="D16" s="119"/>
      <c r="E16" s="119"/>
      <c r="F16" s="119"/>
      <c r="G16" s="119"/>
      <c r="H16" s="119"/>
      <c r="I16" s="119"/>
      <c r="J16" s="106"/>
      <c r="K16" s="124"/>
      <c r="L16" s="125"/>
      <c r="M16" s="125"/>
      <c r="N16" s="125"/>
      <c r="O16" s="125"/>
      <c r="P16" s="125"/>
      <c r="Q16" s="125"/>
      <c r="R16" s="125"/>
      <c r="S16" s="126"/>
      <c r="T16" s="123" t="s">
        <v>550</v>
      </c>
      <c r="U16" s="119"/>
      <c r="V16" s="119"/>
      <c r="W16" s="119"/>
      <c r="X16" s="119"/>
      <c r="Y16" s="119"/>
      <c r="Z16" s="119"/>
      <c r="AA16" s="106"/>
      <c r="AB16" s="38"/>
      <c r="AC16" s="127">
        <v>24</v>
      </c>
      <c r="AD16" s="127"/>
      <c r="AE16" s="39" t="s">
        <v>551</v>
      </c>
      <c r="AF16" s="127">
        <v>50</v>
      </c>
      <c r="AG16" s="127"/>
      <c r="AH16" s="39" t="s">
        <v>552</v>
      </c>
      <c r="AI16" s="40"/>
      <c r="AJ16" s="41"/>
      <c r="AK16" s="37"/>
      <c r="AL16" s="35"/>
      <c r="AN16" s="12" t="b">
        <v>1</v>
      </c>
    </row>
    <row r="17" spans="1:42" s="12" customFormat="1" ht="7.5" customHeight="1" x14ac:dyDescent="0.25">
      <c r="A17" s="35"/>
      <c r="B17" s="36"/>
      <c r="C17" s="42"/>
      <c r="D17" s="42"/>
      <c r="E17" s="42"/>
      <c r="F17" s="42"/>
      <c r="G17" s="42"/>
      <c r="H17" s="42"/>
      <c r="I17" s="42"/>
      <c r="J17" s="42"/>
      <c r="K17" s="35"/>
      <c r="L17" s="35"/>
      <c r="M17" s="35"/>
      <c r="N17" s="35"/>
      <c r="O17" s="35"/>
      <c r="P17" s="35"/>
      <c r="Q17" s="35"/>
      <c r="R17" s="35"/>
      <c r="S17" s="35"/>
      <c r="T17" s="42"/>
      <c r="U17" s="42"/>
      <c r="V17" s="42"/>
      <c r="W17" s="42"/>
      <c r="X17" s="42"/>
      <c r="Y17" s="42"/>
      <c r="Z17" s="42"/>
      <c r="AA17" s="42"/>
      <c r="AB17" s="35"/>
      <c r="AC17" s="35"/>
      <c r="AD17" s="43"/>
      <c r="AE17" s="43"/>
      <c r="AF17" s="35"/>
      <c r="AG17" s="35"/>
      <c r="AH17" s="43"/>
      <c r="AI17" s="35"/>
      <c r="AJ17" s="35"/>
      <c r="AK17" s="37"/>
      <c r="AL17" s="35"/>
    </row>
    <row r="18" spans="1:42" s="12" customFormat="1" ht="15" customHeight="1" x14ac:dyDescent="0.25">
      <c r="A18" s="35"/>
      <c r="B18" s="36"/>
      <c r="C18" s="113" t="s">
        <v>555</v>
      </c>
      <c r="D18" s="114"/>
      <c r="E18" s="114"/>
      <c r="F18" s="114"/>
      <c r="G18" s="114"/>
      <c r="H18" s="114"/>
      <c r="I18" s="114"/>
      <c r="J18" s="115"/>
      <c r="K18" s="73" t="s">
        <v>556</v>
      </c>
      <c r="L18" s="74"/>
      <c r="M18" s="74"/>
      <c r="N18" s="74"/>
      <c r="O18" s="74"/>
      <c r="P18" s="74"/>
      <c r="Q18" s="74"/>
      <c r="R18" s="74"/>
      <c r="S18" s="116"/>
      <c r="T18" s="117" t="s">
        <v>557</v>
      </c>
      <c r="U18" s="74"/>
      <c r="V18" s="74"/>
      <c r="W18" s="74"/>
      <c r="X18" s="74"/>
      <c r="Y18" s="74"/>
      <c r="Z18" s="74"/>
      <c r="AA18" s="75"/>
      <c r="AB18" s="73"/>
      <c r="AC18" s="74"/>
      <c r="AD18" s="74"/>
      <c r="AE18" s="74"/>
      <c r="AF18" s="74"/>
      <c r="AG18" s="74"/>
      <c r="AH18" s="74"/>
      <c r="AI18" s="74"/>
      <c r="AJ18" s="75"/>
      <c r="AK18" s="37"/>
      <c r="AL18" s="35"/>
    </row>
    <row r="19" spans="1:42" s="12" customFormat="1" ht="7.5" customHeight="1" x14ac:dyDescent="0.25">
      <c r="A19" s="35"/>
      <c r="B19" s="36"/>
      <c r="C19" s="42"/>
      <c r="D19" s="42"/>
      <c r="E19" s="42"/>
      <c r="F19" s="42"/>
      <c r="G19" s="42"/>
      <c r="H19" s="42"/>
      <c r="I19" s="42"/>
      <c r="J19" s="42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37"/>
      <c r="AL19" s="35"/>
    </row>
    <row r="20" spans="1:42" s="12" customFormat="1" ht="13.5" customHeight="1" x14ac:dyDescent="0.25">
      <c r="A20" s="35"/>
      <c r="B20" s="36"/>
      <c r="C20" s="35" t="s">
        <v>558</v>
      </c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7"/>
      <c r="AL20" s="35"/>
    </row>
    <row r="21" spans="1:42" s="12" customFormat="1" ht="13.5" customHeight="1" x14ac:dyDescent="0.25">
      <c r="A21" s="35"/>
      <c r="B21" s="36"/>
      <c r="C21" s="35" t="s">
        <v>559</v>
      </c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7"/>
      <c r="AL21" s="35"/>
      <c r="AP21" s="12" t="s">
        <v>560</v>
      </c>
    </row>
    <row r="22" spans="1:42" s="12" customFormat="1" ht="13.5" customHeight="1" x14ac:dyDescent="0.25">
      <c r="A22" s="35"/>
      <c r="B22" s="36"/>
      <c r="C22" s="35" t="s">
        <v>561</v>
      </c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7"/>
      <c r="AL22" s="35"/>
    </row>
    <row r="23" spans="1:42" s="12" customFormat="1" ht="7.5" customHeight="1" x14ac:dyDescent="0.25">
      <c r="A23" s="35"/>
      <c r="B23" s="36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7"/>
      <c r="AL23" s="35"/>
    </row>
    <row r="24" spans="1:42" s="12" customFormat="1" ht="13.5" customHeight="1" x14ac:dyDescent="0.25">
      <c r="A24" s="35"/>
      <c r="B24" s="36"/>
      <c r="C24" s="73" t="s">
        <v>562</v>
      </c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5"/>
      <c r="AK24" s="37"/>
      <c r="AL24" s="35"/>
    </row>
    <row r="25" spans="1:42" s="12" customFormat="1" ht="13.5" customHeight="1" x14ac:dyDescent="0.25">
      <c r="A25" s="35"/>
      <c r="B25" s="36"/>
      <c r="C25" s="73" t="s">
        <v>563</v>
      </c>
      <c r="D25" s="74"/>
      <c r="E25" s="74"/>
      <c r="F25" s="74"/>
      <c r="G25" s="74"/>
      <c r="H25" s="74"/>
      <c r="I25" s="74"/>
      <c r="J25" s="74"/>
      <c r="K25" s="74"/>
      <c r="L25" s="75"/>
      <c r="M25" s="73" t="s">
        <v>544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5"/>
      <c r="AA25" s="73" t="s">
        <v>564</v>
      </c>
      <c r="AB25" s="74"/>
      <c r="AC25" s="74"/>
      <c r="AD25" s="74"/>
      <c r="AE25" s="74"/>
      <c r="AF25" s="74"/>
      <c r="AG25" s="74"/>
      <c r="AH25" s="74"/>
      <c r="AI25" s="74"/>
      <c r="AJ25" s="75"/>
      <c r="AK25" s="37"/>
      <c r="AL25" s="35"/>
    </row>
    <row r="26" spans="1:42" s="12" customFormat="1" ht="21.75" customHeight="1" x14ac:dyDescent="0.25">
      <c r="A26" s="35"/>
      <c r="B26" s="36"/>
      <c r="C26" s="45" t="s">
        <v>565</v>
      </c>
      <c r="D26" s="110" t="s">
        <v>566</v>
      </c>
      <c r="E26" s="110"/>
      <c r="F26" s="110"/>
      <c r="G26" s="110"/>
      <c r="H26" s="110"/>
      <c r="I26" s="110"/>
      <c r="J26" s="110"/>
      <c r="K26" s="110"/>
      <c r="L26" s="111"/>
      <c r="M26" s="73" t="s">
        <v>567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5"/>
      <c r="AA26" s="112" t="s">
        <v>568</v>
      </c>
      <c r="AB26" s="98"/>
      <c r="AC26" s="98"/>
      <c r="AD26" s="98"/>
      <c r="AE26" s="98"/>
      <c r="AF26" s="98"/>
      <c r="AG26" s="98"/>
      <c r="AH26" s="98"/>
      <c r="AI26" s="98"/>
      <c r="AJ26" s="99"/>
      <c r="AK26" s="37"/>
      <c r="AL26" s="35"/>
    </row>
    <row r="27" spans="1:42" s="12" customFormat="1" ht="21.75" customHeight="1" x14ac:dyDescent="0.25">
      <c r="A27" s="35"/>
      <c r="B27" s="36"/>
      <c r="C27" s="45" t="s">
        <v>569</v>
      </c>
      <c r="D27" s="106"/>
      <c r="E27" s="107"/>
      <c r="F27" s="107"/>
      <c r="G27" s="107"/>
      <c r="H27" s="107"/>
      <c r="I27" s="107"/>
      <c r="J27" s="107"/>
      <c r="K27" s="107"/>
      <c r="L27" s="107"/>
      <c r="M27" s="73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5"/>
      <c r="AA27" s="108"/>
      <c r="AB27" s="98"/>
      <c r="AC27" s="98"/>
      <c r="AD27" s="98"/>
      <c r="AE27" s="98"/>
      <c r="AF27" s="98"/>
      <c r="AG27" s="98"/>
      <c r="AH27" s="98"/>
      <c r="AI27" s="98"/>
      <c r="AJ27" s="99"/>
      <c r="AK27" s="37"/>
      <c r="AL27" s="35"/>
    </row>
    <row r="28" spans="1:42" s="12" customFormat="1" ht="21.75" customHeight="1" x14ac:dyDescent="0.25">
      <c r="A28" s="35"/>
      <c r="B28" s="36"/>
      <c r="C28" s="46">
        <v>3</v>
      </c>
      <c r="D28" s="106"/>
      <c r="E28" s="107"/>
      <c r="F28" s="107"/>
      <c r="G28" s="107"/>
      <c r="H28" s="107"/>
      <c r="I28" s="107"/>
      <c r="J28" s="107"/>
      <c r="K28" s="107"/>
      <c r="L28" s="107"/>
      <c r="M28" s="73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5"/>
      <c r="AA28" s="108"/>
      <c r="AB28" s="98"/>
      <c r="AC28" s="98"/>
      <c r="AD28" s="98"/>
      <c r="AE28" s="98"/>
      <c r="AF28" s="98"/>
      <c r="AG28" s="98"/>
      <c r="AH28" s="98"/>
      <c r="AI28" s="98"/>
      <c r="AJ28" s="99"/>
      <c r="AK28" s="37"/>
      <c r="AL28" s="35"/>
    </row>
    <row r="29" spans="1:42" s="12" customFormat="1" ht="21.75" customHeight="1" x14ac:dyDescent="0.25">
      <c r="A29" s="35"/>
      <c r="B29" s="36"/>
      <c r="C29" s="47" t="s">
        <v>572</v>
      </c>
      <c r="D29" s="75"/>
      <c r="E29" s="78"/>
      <c r="F29" s="78"/>
      <c r="G29" s="78"/>
      <c r="H29" s="78"/>
      <c r="I29" s="78"/>
      <c r="J29" s="78"/>
      <c r="K29" s="78"/>
      <c r="L29" s="78"/>
      <c r="M29" s="73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5"/>
      <c r="AA29" s="108"/>
      <c r="AB29" s="98"/>
      <c r="AC29" s="98"/>
      <c r="AD29" s="98"/>
      <c r="AE29" s="98"/>
      <c r="AF29" s="98"/>
      <c r="AG29" s="98"/>
      <c r="AH29" s="98"/>
      <c r="AI29" s="98"/>
      <c r="AJ29" s="99"/>
      <c r="AK29" s="37"/>
      <c r="AL29" s="35"/>
    </row>
    <row r="30" spans="1:42" s="12" customFormat="1" ht="21.75" customHeight="1" x14ac:dyDescent="0.25">
      <c r="A30" s="35"/>
      <c r="B30" s="36"/>
      <c r="C30" s="47" t="s">
        <v>574</v>
      </c>
      <c r="D30" s="106"/>
      <c r="E30" s="107"/>
      <c r="F30" s="107"/>
      <c r="G30" s="107"/>
      <c r="H30" s="107"/>
      <c r="I30" s="107"/>
      <c r="J30" s="107"/>
      <c r="K30" s="107"/>
      <c r="L30" s="107"/>
      <c r="M30" s="73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5"/>
      <c r="AA30" s="108"/>
      <c r="AB30" s="98"/>
      <c r="AC30" s="98"/>
      <c r="AD30" s="98"/>
      <c r="AE30" s="98"/>
      <c r="AF30" s="98"/>
      <c r="AG30" s="98"/>
      <c r="AH30" s="98"/>
      <c r="AI30" s="98"/>
      <c r="AJ30" s="99"/>
      <c r="AK30" s="37"/>
      <c r="AL30" s="35"/>
    </row>
    <row r="31" spans="1:42" s="12" customFormat="1" ht="7.5" customHeight="1" x14ac:dyDescent="0.25">
      <c r="A31" s="35"/>
      <c r="B31" s="36"/>
      <c r="C31" s="48"/>
      <c r="D31" s="42"/>
      <c r="E31" s="42"/>
      <c r="F31" s="42"/>
      <c r="G31" s="42"/>
      <c r="H31" s="42"/>
      <c r="I31" s="42"/>
      <c r="J31" s="42"/>
      <c r="K31" s="42"/>
      <c r="L31" s="42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7"/>
      <c r="AL31" s="35"/>
    </row>
    <row r="32" spans="1:42" s="12" customFormat="1" ht="13.5" customHeight="1" x14ac:dyDescent="0.25">
      <c r="A32" s="35"/>
      <c r="B32" s="36"/>
      <c r="C32" s="109" t="s">
        <v>576</v>
      </c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37"/>
      <c r="AL32" s="35"/>
    </row>
    <row r="33" spans="1:38" s="12" customFormat="1" ht="13.5" customHeight="1" x14ac:dyDescent="0.25">
      <c r="A33" s="35"/>
      <c r="B33" s="36"/>
      <c r="C33" s="109" t="s">
        <v>577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37"/>
      <c r="AL33" s="35"/>
    </row>
    <row r="34" spans="1:38" s="12" customFormat="1" ht="13.5" customHeight="1" x14ac:dyDescent="0.25">
      <c r="A34" s="35"/>
      <c r="B34" s="36"/>
      <c r="C34" s="109" t="s">
        <v>578</v>
      </c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37"/>
      <c r="AL34" s="35"/>
    </row>
    <row r="35" spans="1:38" s="12" customFormat="1" ht="13.5" customHeight="1" x14ac:dyDescent="0.25">
      <c r="A35" s="35"/>
      <c r="B35" s="36"/>
      <c r="C35" s="35" t="s">
        <v>580</v>
      </c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7"/>
      <c r="AL35" s="35"/>
    </row>
    <row r="36" spans="1:38" s="12" customFormat="1" ht="7.5" customHeight="1" x14ac:dyDescent="0.25">
      <c r="A36" s="35"/>
      <c r="B36" s="36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7"/>
      <c r="AL36" s="35"/>
    </row>
    <row r="37" spans="1:38" s="12" customFormat="1" ht="13.5" customHeight="1" x14ac:dyDescent="0.25">
      <c r="A37" s="35"/>
      <c r="B37" s="36"/>
      <c r="C37" s="100" t="s">
        <v>581</v>
      </c>
      <c r="D37" s="101"/>
      <c r="E37" s="101"/>
      <c r="F37" s="102"/>
      <c r="G37" s="81" t="s">
        <v>582</v>
      </c>
      <c r="H37" s="82"/>
      <c r="I37" s="82"/>
      <c r="J37" s="82"/>
      <c r="K37" s="82"/>
      <c r="L37" s="83"/>
      <c r="M37" s="87" t="s">
        <v>583</v>
      </c>
      <c r="N37" s="88"/>
      <c r="O37" s="88"/>
      <c r="P37" s="89"/>
      <c r="Q37" s="81" t="s">
        <v>584</v>
      </c>
      <c r="R37" s="82"/>
      <c r="S37" s="82"/>
      <c r="T37" s="83"/>
      <c r="U37" s="81" t="s">
        <v>585</v>
      </c>
      <c r="V37" s="82"/>
      <c r="W37" s="82"/>
      <c r="X37" s="83"/>
      <c r="Y37" s="81" t="s">
        <v>586</v>
      </c>
      <c r="Z37" s="82"/>
      <c r="AA37" s="82"/>
      <c r="AB37" s="83"/>
      <c r="AC37" s="81" t="s">
        <v>587</v>
      </c>
      <c r="AD37" s="82"/>
      <c r="AE37" s="82"/>
      <c r="AF37" s="83"/>
      <c r="AG37" s="87" t="s">
        <v>588</v>
      </c>
      <c r="AH37" s="88"/>
      <c r="AI37" s="88"/>
      <c r="AJ37" s="89"/>
      <c r="AK37" s="37"/>
      <c r="AL37" s="35"/>
    </row>
    <row r="38" spans="1:38" s="12" customFormat="1" ht="13.5" customHeight="1" x14ac:dyDescent="0.25">
      <c r="A38" s="35"/>
      <c r="B38" s="36"/>
      <c r="C38" s="103"/>
      <c r="D38" s="104"/>
      <c r="E38" s="104"/>
      <c r="F38" s="105"/>
      <c r="G38" s="93" t="s">
        <v>589</v>
      </c>
      <c r="H38" s="85"/>
      <c r="I38" s="85"/>
      <c r="J38" s="85"/>
      <c r="K38" s="85"/>
      <c r="L38" s="86"/>
      <c r="M38" s="90"/>
      <c r="N38" s="91"/>
      <c r="O38" s="91"/>
      <c r="P38" s="92"/>
      <c r="Q38" s="84"/>
      <c r="R38" s="85"/>
      <c r="S38" s="85"/>
      <c r="T38" s="86"/>
      <c r="U38" s="84"/>
      <c r="V38" s="85"/>
      <c r="W38" s="85"/>
      <c r="X38" s="86"/>
      <c r="Y38" s="84"/>
      <c r="Z38" s="85"/>
      <c r="AA38" s="85"/>
      <c r="AB38" s="86"/>
      <c r="AC38" s="84"/>
      <c r="AD38" s="85"/>
      <c r="AE38" s="85"/>
      <c r="AF38" s="86"/>
      <c r="AG38" s="90"/>
      <c r="AH38" s="91"/>
      <c r="AI38" s="91"/>
      <c r="AJ38" s="92"/>
      <c r="AK38" s="37"/>
      <c r="AL38" s="35"/>
    </row>
    <row r="39" spans="1:38" s="12" customFormat="1" ht="22.5" customHeight="1" x14ac:dyDescent="0.25">
      <c r="A39" s="35"/>
      <c r="B39" s="36"/>
      <c r="C39" s="94" t="s">
        <v>590</v>
      </c>
      <c r="D39" s="95"/>
      <c r="E39" s="95"/>
      <c r="F39" s="96"/>
      <c r="G39" s="81" t="s">
        <v>591</v>
      </c>
      <c r="H39" s="82"/>
      <c r="I39" s="82"/>
      <c r="J39" s="82"/>
      <c r="K39" s="82"/>
      <c r="L39" s="83"/>
      <c r="M39" s="97"/>
      <c r="N39" s="98"/>
      <c r="O39" s="98"/>
      <c r="P39" s="99"/>
      <c r="Q39" s="73"/>
      <c r="R39" s="74"/>
      <c r="S39" s="74"/>
      <c r="T39" s="75"/>
      <c r="U39" s="97"/>
      <c r="V39" s="98"/>
      <c r="W39" s="98"/>
      <c r="X39" s="99"/>
      <c r="Y39" s="73"/>
      <c r="Z39" s="74"/>
      <c r="AA39" s="74"/>
      <c r="AB39" s="75"/>
      <c r="AC39" s="97"/>
      <c r="AD39" s="98"/>
      <c r="AE39" s="98"/>
      <c r="AF39" s="99"/>
      <c r="AG39" s="73" t="s">
        <v>592</v>
      </c>
      <c r="AH39" s="74"/>
      <c r="AI39" s="74"/>
      <c r="AJ39" s="75"/>
      <c r="AK39" s="37"/>
      <c r="AL39" s="35"/>
    </row>
    <row r="40" spans="1:38" s="12" customFormat="1" ht="22.5" customHeight="1" x14ac:dyDescent="0.25">
      <c r="A40" s="35"/>
      <c r="B40" s="36"/>
      <c r="C40" s="76" t="s">
        <v>590</v>
      </c>
      <c r="D40" s="77"/>
      <c r="E40" s="77"/>
      <c r="F40" s="77"/>
      <c r="G40" s="78" t="s">
        <v>593</v>
      </c>
      <c r="H40" s="78"/>
      <c r="I40" s="78"/>
      <c r="J40" s="78"/>
      <c r="K40" s="78"/>
      <c r="L40" s="78"/>
      <c r="M40" s="79"/>
      <c r="N40" s="80"/>
      <c r="O40" s="80"/>
      <c r="P40" s="80"/>
      <c r="Q40" s="73"/>
      <c r="R40" s="74"/>
      <c r="S40" s="74"/>
      <c r="T40" s="75"/>
      <c r="U40" s="79"/>
      <c r="V40" s="80"/>
      <c r="W40" s="80"/>
      <c r="X40" s="80"/>
      <c r="Y40" s="73"/>
      <c r="Z40" s="74"/>
      <c r="AA40" s="74"/>
      <c r="AB40" s="75"/>
      <c r="AC40" s="79"/>
      <c r="AD40" s="80"/>
      <c r="AE40" s="80"/>
      <c r="AF40" s="80"/>
      <c r="AG40" s="78" t="s">
        <v>592</v>
      </c>
      <c r="AH40" s="78"/>
      <c r="AI40" s="78"/>
      <c r="AJ40" s="78"/>
      <c r="AK40" s="37"/>
      <c r="AL40" s="35"/>
    </row>
    <row r="41" spans="1:38" s="12" customFormat="1" ht="22.5" customHeight="1" x14ac:dyDescent="0.25">
      <c r="A41" s="35"/>
      <c r="B41" s="36"/>
      <c r="C41" s="72"/>
      <c r="D41" s="69"/>
      <c r="E41" s="69"/>
      <c r="F41" s="69"/>
      <c r="G41" s="70"/>
      <c r="H41" s="70"/>
      <c r="I41" s="70"/>
      <c r="J41" s="70"/>
      <c r="K41" s="70"/>
      <c r="L41" s="70"/>
      <c r="M41" s="72"/>
      <c r="N41" s="69"/>
      <c r="O41" s="69"/>
      <c r="P41" s="69"/>
      <c r="Q41" s="35"/>
      <c r="R41" s="35"/>
      <c r="S41" s="35"/>
      <c r="T41" s="49"/>
      <c r="U41" s="72"/>
      <c r="V41" s="69"/>
      <c r="W41" s="69"/>
      <c r="X41" s="69"/>
      <c r="Y41" s="35"/>
      <c r="Z41" s="35"/>
      <c r="AA41" s="35"/>
      <c r="AB41" s="49"/>
      <c r="AC41" s="72"/>
      <c r="AD41" s="69"/>
      <c r="AE41" s="69"/>
      <c r="AF41" s="69"/>
      <c r="AG41" s="70"/>
      <c r="AH41" s="70"/>
      <c r="AI41" s="70"/>
      <c r="AJ41" s="70"/>
      <c r="AK41" s="37"/>
      <c r="AL41" s="35"/>
    </row>
    <row r="42" spans="1:38" s="12" customFormat="1" ht="18.95" customHeight="1" x14ac:dyDescent="0.25">
      <c r="A42" s="35"/>
      <c r="B42" s="36"/>
      <c r="C42" s="71" t="s">
        <v>594</v>
      </c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37"/>
      <c r="AL42" s="35"/>
    </row>
    <row r="43" spans="1:38" s="12" customFormat="1" ht="18.95" customHeight="1" x14ac:dyDescent="0.25">
      <c r="A43" s="35"/>
      <c r="B43" s="36"/>
      <c r="C43" s="71" t="s">
        <v>595</v>
      </c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37"/>
      <c r="AL43" s="35"/>
    </row>
    <row r="44" spans="1:38" s="12" customFormat="1" ht="22.5" customHeight="1" x14ac:dyDescent="0.25">
      <c r="A44" s="35"/>
      <c r="B44" s="36"/>
      <c r="C44" s="72"/>
      <c r="D44" s="69"/>
      <c r="E44" s="69"/>
      <c r="F44" s="69"/>
      <c r="G44" s="70"/>
      <c r="H44" s="70"/>
      <c r="I44" s="70"/>
      <c r="J44" s="70"/>
      <c r="K44" s="70"/>
      <c r="L44" s="70"/>
      <c r="M44" s="50"/>
      <c r="N44" s="51"/>
      <c r="O44" s="51"/>
      <c r="P44" s="51"/>
      <c r="Q44" s="35"/>
      <c r="R44" s="35"/>
      <c r="S44" s="35"/>
      <c r="T44" s="49"/>
      <c r="U44" s="50"/>
      <c r="V44" s="51"/>
      <c r="W44" s="51"/>
      <c r="X44" s="51"/>
      <c r="Y44" s="35"/>
      <c r="Z44" s="35"/>
      <c r="AA44" s="35"/>
      <c r="AB44" s="49"/>
      <c r="AC44" s="50"/>
      <c r="AD44" s="51"/>
      <c r="AE44" s="51"/>
      <c r="AF44" s="51"/>
      <c r="AG44" s="70"/>
      <c r="AH44" s="70"/>
      <c r="AI44" s="70"/>
      <c r="AJ44" s="70"/>
      <c r="AK44" s="37"/>
      <c r="AL44" s="35"/>
    </row>
    <row r="45" spans="1:38" s="12" customFormat="1" ht="22.5" customHeight="1" x14ac:dyDescent="0.25">
      <c r="A45" s="35"/>
      <c r="B45" s="36"/>
      <c r="C45" s="69"/>
      <c r="D45" s="69"/>
      <c r="E45" s="69"/>
      <c r="F45" s="69"/>
      <c r="G45" s="70"/>
      <c r="H45" s="70"/>
      <c r="I45" s="70"/>
      <c r="J45" s="70"/>
      <c r="K45" s="70"/>
      <c r="L45" s="70"/>
      <c r="M45" s="52"/>
      <c r="N45" s="52"/>
      <c r="O45" s="52"/>
      <c r="P45" s="49"/>
      <c r="Q45" s="35"/>
      <c r="R45" s="35"/>
      <c r="S45" s="35"/>
      <c r="T45" s="49"/>
      <c r="U45" s="52"/>
      <c r="V45" s="52"/>
      <c r="W45" s="52"/>
      <c r="X45" s="49"/>
      <c r="Y45" s="35"/>
      <c r="Z45" s="35"/>
      <c r="AA45" s="35"/>
      <c r="AB45" s="49"/>
      <c r="AC45" s="52"/>
      <c r="AD45" s="52"/>
      <c r="AE45" s="52"/>
      <c r="AF45" s="49"/>
      <c r="AG45" s="70"/>
      <c r="AH45" s="70"/>
      <c r="AI45" s="70"/>
      <c r="AJ45" s="70"/>
      <c r="AK45" s="37"/>
      <c r="AL45" s="35"/>
    </row>
    <row r="46" spans="1:38" s="12" customFormat="1" ht="22.5" customHeight="1" x14ac:dyDescent="0.25">
      <c r="A46" s="35"/>
      <c r="B46" s="36"/>
      <c r="C46" s="69"/>
      <c r="D46" s="69"/>
      <c r="E46" s="69"/>
      <c r="F46" s="69"/>
      <c r="G46" s="70"/>
      <c r="H46" s="70"/>
      <c r="I46" s="70"/>
      <c r="J46" s="70"/>
      <c r="K46" s="70"/>
      <c r="L46" s="70"/>
      <c r="M46" s="52"/>
      <c r="N46" s="52"/>
      <c r="O46" s="52"/>
      <c r="P46" s="49"/>
      <c r="Q46" s="35"/>
      <c r="R46" s="35"/>
      <c r="S46" s="35"/>
      <c r="T46" s="49"/>
      <c r="U46" s="52"/>
      <c r="V46" s="52"/>
      <c r="W46" s="52"/>
      <c r="X46" s="49"/>
      <c r="Y46" s="35"/>
      <c r="Z46" s="35"/>
      <c r="AA46" s="35"/>
      <c r="AB46" s="49"/>
      <c r="AC46" s="52"/>
      <c r="AD46" s="52"/>
      <c r="AE46" s="52"/>
      <c r="AF46" s="49"/>
      <c r="AG46" s="70"/>
      <c r="AH46" s="70"/>
      <c r="AI46" s="70"/>
      <c r="AJ46" s="70"/>
      <c r="AK46" s="37"/>
      <c r="AL46" s="35"/>
    </row>
    <row r="47" spans="1:38" s="12" customFormat="1" ht="22.5" customHeight="1" x14ac:dyDescent="0.25">
      <c r="A47" s="35"/>
      <c r="B47" s="36"/>
      <c r="C47" s="69"/>
      <c r="D47" s="69"/>
      <c r="E47" s="69"/>
      <c r="F47" s="69"/>
      <c r="G47" s="70"/>
      <c r="H47" s="70"/>
      <c r="I47" s="70"/>
      <c r="J47" s="70"/>
      <c r="K47" s="70"/>
      <c r="L47" s="70"/>
      <c r="M47" s="52"/>
      <c r="N47" s="52"/>
      <c r="O47" s="52"/>
      <c r="P47" s="49"/>
      <c r="Q47" s="35"/>
      <c r="R47" s="35"/>
      <c r="S47" s="35"/>
      <c r="T47" s="49"/>
      <c r="U47" s="52"/>
      <c r="V47" s="52"/>
      <c r="W47" s="52"/>
      <c r="X47" s="49"/>
      <c r="Y47" s="35"/>
      <c r="Z47" s="35"/>
      <c r="AA47" s="35"/>
      <c r="AB47" s="49"/>
      <c r="AC47" s="52"/>
      <c r="AD47" s="52"/>
      <c r="AE47" s="52"/>
      <c r="AF47" s="49"/>
      <c r="AG47" s="70"/>
      <c r="AH47" s="70"/>
      <c r="AI47" s="70"/>
      <c r="AJ47" s="70"/>
      <c r="AK47" s="37"/>
      <c r="AL47" s="35"/>
    </row>
    <row r="48" spans="1:38" s="12" customFormat="1" ht="22.5" customHeight="1" x14ac:dyDescent="0.25">
      <c r="A48" s="35"/>
      <c r="B48" s="36"/>
      <c r="C48" s="69"/>
      <c r="D48" s="69"/>
      <c r="E48" s="69"/>
      <c r="F48" s="69"/>
      <c r="G48" s="70"/>
      <c r="H48" s="70"/>
      <c r="I48" s="70"/>
      <c r="J48" s="70"/>
      <c r="K48" s="70"/>
      <c r="L48" s="70"/>
      <c r="M48" s="52"/>
      <c r="N48" s="52"/>
      <c r="O48" s="52"/>
      <c r="P48" s="49"/>
      <c r="Q48" s="35"/>
      <c r="R48" s="35"/>
      <c r="S48" s="35"/>
      <c r="T48" s="49"/>
      <c r="U48" s="52"/>
      <c r="V48" s="52"/>
      <c r="W48" s="52"/>
      <c r="X48" s="49"/>
      <c r="Y48" s="35"/>
      <c r="Z48" s="35"/>
      <c r="AA48" s="35"/>
      <c r="AB48" s="49"/>
      <c r="AC48" s="52"/>
      <c r="AD48" s="52"/>
      <c r="AE48" s="52"/>
      <c r="AF48" s="49"/>
      <c r="AG48" s="70"/>
      <c r="AH48" s="70"/>
      <c r="AI48" s="70"/>
      <c r="AJ48" s="70"/>
      <c r="AK48" s="37"/>
      <c r="AL48" s="35"/>
    </row>
    <row r="49" spans="1:38" s="12" customFormat="1" ht="22.5" customHeight="1" x14ac:dyDescent="0.25">
      <c r="A49" s="35"/>
      <c r="B49" s="36"/>
      <c r="C49" s="69"/>
      <c r="D49" s="69"/>
      <c r="E49" s="69"/>
      <c r="F49" s="69"/>
      <c r="G49" s="70"/>
      <c r="H49" s="70"/>
      <c r="I49" s="70"/>
      <c r="J49" s="70"/>
      <c r="K49" s="70"/>
      <c r="L49" s="70"/>
      <c r="M49" s="52"/>
      <c r="N49" s="52"/>
      <c r="O49" s="52"/>
      <c r="P49" s="49"/>
      <c r="Q49" s="35"/>
      <c r="R49" s="35"/>
      <c r="S49" s="35"/>
      <c r="T49" s="49"/>
      <c r="U49" s="52"/>
      <c r="V49" s="52"/>
      <c r="W49" s="52"/>
      <c r="X49" s="49"/>
      <c r="Y49" s="35"/>
      <c r="Z49" s="35"/>
      <c r="AA49" s="35"/>
      <c r="AB49" s="49"/>
      <c r="AC49" s="52"/>
      <c r="AD49" s="52"/>
      <c r="AE49" s="52"/>
      <c r="AF49" s="49"/>
      <c r="AG49" s="70"/>
      <c r="AH49" s="70"/>
      <c r="AI49" s="70"/>
      <c r="AJ49" s="70"/>
      <c r="AK49" s="37"/>
      <c r="AL49" s="35"/>
    </row>
    <row r="50" spans="1:38" s="12" customFormat="1" ht="22.5" customHeight="1" x14ac:dyDescent="0.25">
      <c r="A50" s="35"/>
      <c r="B50" s="36"/>
      <c r="C50" s="69"/>
      <c r="D50" s="69"/>
      <c r="E50" s="69"/>
      <c r="F50" s="69"/>
      <c r="G50" s="70"/>
      <c r="H50" s="70"/>
      <c r="I50" s="70"/>
      <c r="J50" s="70"/>
      <c r="K50" s="70"/>
      <c r="L50" s="70"/>
      <c r="M50" s="52"/>
      <c r="N50" s="52"/>
      <c r="O50" s="52"/>
      <c r="P50" s="49"/>
      <c r="Q50" s="35"/>
      <c r="R50" s="35"/>
      <c r="S50" s="35"/>
      <c r="T50" s="49"/>
      <c r="U50" s="52"/>
      <c r="V50" s="52"/>
      <c r="W50" s="52"/>
      <c r="X50" s="49"/>
      <c r="Y50" s="35"/>
      <c r="Z50" s="35"/>
      <c r="AA50" s="35"/>
      <c r="AB50" s="49"/>
      <c r="AC50" s="52"/>
      <c r="AD50" s="52"/>
      <c r="AE50" s="52"/>
      <c r="AF50" s="49"/>
      <c r="AG50" s="70"/>
      <c r="AH50" s="70"/>
      <c r="AI50" s="70"/>
      <c r="AJ50" s="70"/>
      <c r="AK50" s="37"/>
      <c r="AL50" s="35"/>
    </row>
    <row r="51" spans="1:38" s="11" customFormat="1" ht="12.95" customHeight="1" x14ac:dyDescent="0.25">
      <c r="A51" s="22"/>
      <c r="B51" s="31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3"/>
      <c r="AL51" s="22"/>
    </row>
    <row r="52" spans="1:38" s="11" customFormat="1" ht="3.75" customHeight="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</row>
    <row r="53" spans="1:38" s="11" customFormat="1" ht="12" customHeight="1" x14ac:dyDescent="0.25">
      <c r="A53" s="22"/>
      <c r="B53" s="22" t="s">
        <v>596</v>
      </c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</row>
    <row r="54" spans="1:38" s="11" customFormat="1" ht="12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</row>
    <row r="55" spans="1:38" s="11" customFormat="1" ht="12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</row>
    <row r="56" spans="1:38" s="11" customFormat="1" ht="12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</row>
    <row r="57" spans="1:38" s="11" customFormat="1" ht="12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</row>
    <row r="58" spans="1:38" s="11" customFormat="1" ht="12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</row>
    <row r="59" spans="1:38" s="11" customFormat="1" ht="12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</row>
    <row r="60" spans="1:38" s="11" customFormat="1" ht="12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</row>
    <row r="61" spans="1:38" s="11" customFormat="1" ht="12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</row>
    <row r="62" spans="1:38" s="11" customFormat="1" ht="12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</row>
    <row r="63" spans="1:38" s="11" customFormat="1" ht="12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</row>
    <row r="64" spans="1:38" s="11" customFormat="1" ht="12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</row>
    <row r="65" spans="1:38" s="11" customFormat="1" ht="12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</row>
    <row r="66" spans="1:38" s="11" customFormat="1" ht="12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</row>
    <row r="67" spans="1:38" s="11" customFormat="1" ht="12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</row>
    <row r="68" spans="1:38" s="11" customFormat="1" ht="12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</row>
    <row r="69" spans="1:38" s="11" customFormat="1" ht="12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</row>
    <row r="70" spans="1:38" s="11" customFormat="1" ht="12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</row>
    <row r="71" spans="1:38" s="11" customFormat="1" ht="12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</row>
    <row r="72" spans="1:38" s="11" customFormat="1" ht="12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</row>
    <row r="73" spans="1:38" s="11" customFormat="1" ht="12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</row>
    <row r="74" spans="1:38" s="11" customFormat="1" ht="12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</row>
    <row r="75" spans="1:38" s="11" customFormat="1" ht="12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</row>
    <row r="76" spans="1:38" s="11" customFormat="1" ht="12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</row>
    <row r="77" spans="1:38" s="11" customFormat="1" ht="12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</row>
    <row r="78" spans="1:38" s="11" customFormat="1" ht="12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</row>
    <row r="79" spans="1:38" s="11" customFormat="1" ht="12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</row>
    <row r="80" spans="1:38" s="11" customFormat="1" ht="12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</row>
    <row r="81" spans="1:38" s="11" customFormat="1" ht="12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</row>
    <row r="82" spans="1:38" s="11" customFormat="1" ht="12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</row>
    <row r="83" spans="1:38" s="11" customFormat="1" ht="12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</row>
    <row r="84" spans="1:38" s="11" customFormat="1" ht="12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</row>
    <row r="85" spans="1:38" s="11" customFormat="1" ht="12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</row>
    <row r="86" spans="1:38" s="11" customFormat="1" ht="12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</row>
    <row r="87" spans="1:38" s="11" customFormat="1" ht="12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</row>
    <row r="88" spans="1:38" s="11" customFormat="1" ht="12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</row>
    <row r="89" spans="1:38" s="11" customFormat="1" ht="12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</row>
    <row r="90" spans="1:38" s="11" customFormat="1" ht="12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</row>
    <row r="91" spans="1:38" s="11" customFormat="1" ht="12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</row>
    <row r="92" spans="1:38" s="11" customFormat="1" ht="12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</row>
    <row r="93" spans="1:38" s="11" customFormat="1" ht="12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</row>
    <row r="94" spans="1:38" s="11" customFormat="1" ht="12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</row>
    <row r="95" spans="1:38" s="11" customFormat="1" ht="12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</row>
    <row r="96" spans="1:38" s="11" customFormat="1" ht="12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</row>
    <row r="97" spans="1:38" s="11" customFormat="1" ht="12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</row>
    <row r="98" spans="1:38" s="11" customFormat="1" ht="12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</row>
    <row r="99" spans="1:38" s="11" customFormat="1" ht="12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</row>
    <row r="100" spans="1:38" s="11" customFormat="1" ht="12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</row>
    <row r="101" spans="1:38" s="11" customFormat="1" ht="12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</row>
    <row r="102" spans="1:38" s="11" customFormat="1" ht="12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</row>
    <row r="103" spans="1:38" s="11" customFormat="1" ht="12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</row>
    <row r="104" spans="1:38" s="11" customFormat="1" ht="12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</row>
    <row r="105" spans="1:38" s="11" customFormat="1" ht="12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</row>
    <row r="106" spans="1:38" s="11" customFormat="1" ht="12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</row>
    <row r="107" spans="1:38" s="11" customFormat="1" ht="12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</row>
    <row r="108" spans="1:38" s="11" customFormat="1" ht="12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</row>
    <row r="109" spans="1:38" s="11" customFormat="1" ht="12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</row>
    <row r="110" spans="1:38" s="11" customFormat="1" ht="12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</row>
    <row r="111" spans="1:38" s="11" customFormat="1" ht="12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</row>
    <row r="112" spans="1:38" s="11" customFormat="1" ht="12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</row>
    <row r="113" spans="1:38" s="11" customFormat="1" ht="12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</row>
    <row r="114" spans="1:38" s="11" customFormat="1" ht="12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</row>
    <row r="115" spans="1:38" s="11" customFormat="1" ht="12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</row>
    <row r="116" spans="1:38" s="11" customFormat="1" ht="12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</row>
    <row r="117" spans="1:38" s="11" customFormat="1" ht="12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</row>
    <row r="118" spans="1:38" s="11" customFormat="1" ht="12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</row>
    <row r="119" spans="1:38" s="11" customFormat="1" ht="12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</row>
    <row r="120" spans="1:38" s="11" customFormat="1" ht="12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</row>
    <row r="121" spans="1:38" s="11" customFormat="1" ht="12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</row>
    <row r="122" spans="1:38" s="11" customFormat="1" ht="12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</row>
    <row r="123" spans="1:38" s="11" customFormat="1" ht="12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</row>
    <row r="124" spans="1:38" s="11" customFormat="1" ht="12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</row>
    <row r="125" spans="1:38" s="11" customFormat="1" ht="12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</row>
    <row r="126" spans="1:38" s="11" customFormat="1" ht="12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</row>
    <row r="127" spans="1:38" s="11" customFormat="1" ht="12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</row>
    <row r="128" spans="1:38" s="11" customFormat="1" ht="12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</row>
    <row r="129" spans="1:38" s="11" customFormat="1" ht="12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</row>
    <row r="130" spans="1:38" s="11" customFormat="1" ht="12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</row>
    <row r="131" spans="1:38" s="11" customFormat="1" ht="12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</row>
    <row r="132" spans="1:38" s="11" customFormat="1" ht="12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</row>
    <row r="133" spans="1:38" s="11" customFormat="1" ht="12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</row>
    <row r="134" spans="1:38" s="11" customFormat="1" ht="12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</row>
    <row r="135" spans="1:38" s="11" customFormat="1" ht="12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</row>
    <row r="136" spans="1:38" s="11" customFormat="1" ht="12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</row>
    <row r="137" spans="1:38" s="11" customFormat="1" ht="12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</row>
    <row r="138" spans="1:38" s="11" customFormat="1" ht="12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</row>
    <row r="139" spans="1:38" s="11" customFormat="1" ht="12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</row>
    <row r="140" spans="1:38" s="11" customFormat="1" ht="12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</row>
    <row r="141" spans="1:38" s="11" customFormat="1" ht="12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</row>
    <row r="142" spans="1:38" s="11" customFormat="1" ht="12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</row>
    <row r="143" spans="1:38" s="11" customFormat="1" ht="12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</row>
    <row r="144" spans="1:38" s="11" customFormat="1" ht="12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</row>
    <row r="145" spans="1:38" s="11" customFormat="1" ht="12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</row>
  </sheetData>
  <mergeCells count="104">
    <mergeCell ref="H2:AB3"/>
    <mergeCell ref="V5:AE5"/>
    <mergeCell ref="AF5:AJ5"/>
    <mergeCell ref="V6:Z6"/>
    <mergeCell ref="AA6:AE6"/>
    <mergeCell ref="AF6:AJ6"/>
    <mergeCell ref="J9:S9"/>
    <mergeCell ref="C13:J13"/>
    <mergeCell ref="K13:S13"/>
    <mergeCell ref="T13:AA13"/>
    <mergeCell ref="AB13:AJ13"/>
    <mergeCell ref="C14:J14"/>
    <mergeCell ref="K14:S14"/>
    <mergeCell ref="T14:AA14"/>
    <mergeCell ref="AB14:AJ14"/>
    <mergeCell ref="C15:J15"/>
    <mergeCell ref="K15:S15"/>
    <mergeCell ref="T15:AA15"/>
    <mergeCell ref="AB15:AJ15"/>
    <mergeCell ref="C16:J16"/>
    <mergeCell ref="K16:S16"/>
    <mergeCell ref="T16:AA16"/>
    <mergeCell ref="AC16:AD16"/>
    <mergeCell ref="AF16:AG16"/>
    <mergeCell ref="D26:L26"/>
    <mergeCell ref="M26:Z26"/>
    <mergeCell ref="AA26:AJ26"/>
    <mergeCell ref="D27:L27"/>
    <mergeCell ref="M27:Z27"/>
    <mergeCell ref="AA27:AJ27"/>
    <mergeCell ref="C18:J18"/>
    <mergeCell ref="K18:S18"/>
    <mergeCell ref="T18:AA18"/>
    <mergeCell ref="AB18:AJ18"/>
    <mergeCell ref="C24:AJ24"/>
    <mergeCell ref="C25:L25"/>
    <mergeCell ref="M25:Z25"/>
    <mergeCell ref="AA25:AJ25"/>
    <mergeCell ref="D30:L30"/>
    <mergeCell ref="M30:Z30"/>
    <mergeCell ref="AA30:AJ30"/>
    <mergeCell ref="C32:AJ32"/>
    <mergeCell ref="C33:AJ33"/>
    <mergeCell ref="C34:AJ34"/>
    <mergeCell ref="D28:L28"/>
    <mergeCell ref="M28:Z28"/>
    <mergeCell ref="AA28:AJ28"/>
    <mergeCell ref="D29:L29"/>
    <mergeCell ref="M29:Z29"/>
    <mergeCell ref="AA29:AJ29"/>
    <mergeCell ref="AC37:AF38"/>
    <mergeCell ref="AG37:AJ38"/>
    <mergeCell ref="G38:L38"/>
    <mergeCell ref="C39:F39"/>
    <mergeCell ref="G39:L39"/>
    <mergeCell ref="M39:P39"/>
    <mergeCell ref="Q39:T39"/>
    <mergeCell ref="U39:X39"/>
    <mergeCell ref="Y39:AB39"/>
    <mergeCell ref="AC39:AF39"/>
    <mergeCell ref="C37:F38"/>
    <mergeCell ref="G37:L37"/>
    <mergeCell ref="M37:P38"/>
    <mergeCell ref="Q37:T38"/>
    <mergeCell ref="U37:X38"/>
    <mergeCell ref="Y37:AB38"/>
    <mergeCell ref="C41:F41"/>
    <mergeCell ref="G41:L41"/>
    <mergeCell ref="M41:P41"/>
    <mergeCell ref="U41:X41"/>
    <mergeCell ref="AC41:AF41"/>
    <mergeCell ref="AG41:AJ41"/>
    <mergeCell ref="AG39:AJ39"/>
    <mergeCell ref="C40:F40"/>
    <mergeCell ref="G40:L40"/>
    <mergeCell ref="M40:P40"/>
    <mergeCell ref="Q40:T40"/>
    <mergeCell ref="U40:X40"/>
    <mergeCell ref="Y40:AB40"/>
    <mergeCell ref="AC40:AF40"/>
    <mergeCell ref="AG40:AJ40"/>
    <mergeCell ref="C46:F46"/>
    <mergeCell ref="G46:L46"/>
    <mergeCell ref="AG46:AJ46"/>
    <mergeCell ref="C47:F47"/>
    <mergeCell ref="G47:L47"/>
    <mergeCell ref="AG47:AJ47"/>
    <mergeCell ref="C42:AJ42"/>
    <mergeCell ref="C43:AJ43"/>
    <mergeCell ref="C44:F44"/>
    <mergeCell ref="G44:L44"/>
    <mergeCell ref="AG44:AJ44"/>
    <mergeCell ref="C45:F45"/>
    <mergeCell ref="G45:L45"/>
    <mergeCell ref="AG45:AJ45"/>
    <mergeCell ref="C50:F50"/>
    <mergeCell ref="G50:L50"/>
    <mergeCell ref="AG50:AJ50"/>
    <mergeCell ref="C48:F48"/>
    <mergeCell ref="G48:L48"/>
    <mergeCell ref="AG48:AJ48"/>
    <mergeCell ref="C49:F49"/>
    <mergeCell ref="G49:L49"/>
    <mergeCell ref="AG49:AJ49"/>
  </mergeCells>
  <printOptions horizontalCentered="1" verticalCentered="1"/>
  <pageMargins left="0.59055118110236204" right="0.39370078740157499" top="0.39370078740157499" bottom="0.39370078740157499" header="0.511811023622047" footer="0.511811023622047"/>
  <pageSetup paperSize="9" scale="87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  <pageSetUpPr fitToPage="1"/>
  </sheetPr>
  <dimension ref="A1:AP145"/>
  <sheetViews>
    <sheetView topLeftCell="A7" zoomScale="160" zoomScaleNormal="160" zoomScaleSheetLayoutView="145" workbookViewId="0">
      <selection activeCell="AN20" sqref="AN20"/>
    </sheetView>
  </sheetViews>
  <sheetFormatPr defaultColWidth="2.7109375" defaultRowHeight="12.75" x14ac:dyDescent="0.25"/>
  <cols>
    <col min="1" max="1" width="0.7109375" style="15" customWidth="1"/>
    <col min="2" max="2" width="2.7109375" style="15" customWidth="1"/>
    <col min="3" max="6" width="3" style="15" customWidth="1"/>
    <col min="7" max="12" width="2.5703125" style="15" customWidth="1"/>
    <col min="13" max="36" width="3" style="15" customWidth="1"/>
    <col min="37" max="37" width="2.7109375" style="15" customWidth="1"/>
    <col min="38" max="38" width="0.85546875" style="15" customWidth="1"/>
    <col min="39" max="39" width="2.7109375" style="10"/>
    <col min="40" max="40" width="25.7109375" style="10" customWidth="1"/>
    <col min="41" max="227" width="2.7109375" style="10"/>
    <col min="228" max="228" width="0.7109375" style="10" customWidth="1"/>
    <col min="229" max="229" width="2.7109375" style="10"/>
    <col min="230" max="233" width="3" style="10" customWidth="1"/>
    <col min="234" max="239" width="2.5703125" style="10" customWidth="1"/>
    <col min="240" max="263" width="3" style="10" customWidth="1"/>
    <col min="264" max="264" width="2.7109375" style="10"/>
    <col min="265" max="265" width="0.85546875" style="10" customWidth="1"/>
    <col min="266" max="483" width="2.7109375" style="10"/>
    <col min="484" max="484" width="0.7109375" style="10" customWidth="1"/>
    <col min="485" max="485" width="2.7109375" style="10"/>
    <col min="486" max="489" width="3" style="10" customWidth="1"/>
    <col min="490" max="495" width="2.5703125" style="10" customWidth="1"/>
    <col min="496" max="519" width="3" style="10" customWidth="1"/>
    <col min="520" max="520" width="2.7109375" style="10"/>
    <col min="521" max="521" width="0.85546875" style="10" customWidth="1"/>
    <col min="522" max="739" width="2.7109375" style="10"/>
    <col min="740" max="740" width="0.7109375" style="10" customWidth="1"/>
    <col min="741" max="741" width="2.7109375" style="10"/>
    <col min="742" max="745" width="3" style="10" customWidth="1"/>
    <col min="746" max="751" width="2.5703125" style="10" customWidth="1"/>
    <col min="752" max="775" width="3" style="10" customWidth="1"/>
    <col min="776" max="776" width="2.7109375" style="10"/>
    <col min="777" max="777" width="0.85546875" style="10" customWidth="1"/>
    <col min="778" max="995" width="2.7109375" style="10"/>
    <col min="996" max="996" width="0.7109375" style="10" customWidth="1"/>
    <col min="997" max="997" width="2.7109375" style="10"/>
    <col min="998" max="1001" width="3" style="10" customWidth="1"/>
    <col min="1002" max="1007" width="2.5703125" style="10" customWidth="1"/>
    <col min="1008" max="1031" width="3" style="10" customWidth="1"/>
    <col min="1032" max="1032" width="2.7109375" style="10"/>
    <col min="1033" max="1033" width="0.85546875" style="10" customWidth="1"/>
    <col min="1034" max="1251" width="2.7109375" style="10"/>
    <col min="1252" max="1252" width="0.7109375" style="10" customWidth="1"/>
    <col min="1253" max="1253" width="2.7109375" style="10"/>
    <col min="1254" max="1257" width="3" style="10" customWidth="1"/>
    <col min="1258" max="1263" width="2.5703125" style="10" customWidth="1"/>
    <col min="1264" max="1287" width="3" style="10" customWidth="1"/>
    <col min="1288" max="1288" width="2.7109375" style="10"/>
    <col min="1289" max="1289" width="0.85546875" style="10" customWidth="1"/>
    <col min="1290" max="1507" width="2.7109375" style="10"/>
    <col min="1508" max="1508" width="0.7109375" style="10" customWidth="1"/>
    <col min="1509" max="1509" width="2.7109375" style="10"/>
    <col min="1510" max="1513" width="3" style="10" customWidth="1"/>
    <col min="1514" max="1519" width="2.5703125" style="10" customWidth="1"/>
    <col min="1520" max="1543" width="3" style="10" customWidth="1"/>
    <col min="1544" max="1544" width="2.7109375" style="10"/>
    <col min="1545" max="1545" width="0.85546875" style="10" customWidth="1"/>
    <col min="1546" max="1763" width="2.7109375" style="10"/>
    <col min="1764" max="1764" width="0.7109375" style="10" customWidth="1"/>
    <col min="1765" max="1765" width="2.7109375" style="10"/>
    <col min="1766" max="1769" width="3" style="10" customWidth="1"/>
    <col min="1770" max="1775" width="2.5703125" style="10" customWidth="1"/>
    <col min="1776" max="1799" width="3" style="10" customWidth="1"/>
    <col min="1800" max="1800" width="2.7109375" style="10"/>
    <col min="1801" max="1801" width="0.85546875" style="10" customWidth="1"/>
    <col min="1802" max="2019" width="2.7109375" style="10"/>
    <col min="2020" max="2020" width="0.7109375" style="10" customWidth="1"/>
    <col min="2021" max="2021" width="2.7109375" style="10"/>
    <col min="2022" max="2025" width="3" style="10" customWidth="1"/>
    <col min="2026" max="2031" width="2.5703125" style="10" customWidth="1"/>
    <col min="2032" max="2055" width="3" style="10" customWidth="1"/>
    <col min="2056" max="2056" width="2.7109375" style="10"/>
    <col min="2057" max="2057" width="0.85546875" style="10" customWidth="1"/>
    <col min="2058" max="2275" width="2.7109375" style="10"/>
    <col min="2276" max="2276" width="0.7109375" style="10" customWidth="1"/>
    <col min="2277" max="2277" width="2.7109375" style="10"/>
    <col min="2278" max="2281" width="3" style="10" customWidth="1"/>
    <col min="2282" max="2287" width="2.5703125" style="10" customWidth="1"/>
    <col min="2288" max="2311" width="3" style="10" customWidth="1"/>
    <col min="2312" max="2312" width="2.7109375" style="10"/>
    <col min="2313" max="2313" width="0.85546875" style="10" customWidth="1"/>
    <col min="2314" max="2531" width="2.7109375" style="10"/>
    <col min="2532" max="2532" width="0.7109375" style="10" customWidth="1"/>
    <col min="2533" max="2533" width="2.7109375" style="10"/>
    <col min="2534" max="2537" width="3" style="10" customWidth="1"/>
    <col min="2538" max="2543" width="2.5703125" style="10" customWidth="1"/>
    <col min="2544" max="2567" width="3" style="10" customWidth="1"/>
    <col min="2568" max="2568" width="2.7109375" style="10"/>
    <col min="2569" max="2569" width="0.85546875" style="10" customWidth="1"/>
    <col min="2570" max="2787" width="2.7109375" style="10"/>
    <col min="2788" max="2788" width="0.7109375" style="10" customWidth="1"/>
    <col min="2789" max="2789" width="2.7109375" style="10"/>
    <col min="2790" max="2793" width="3" style="10" customWidth="1"/>
    <col min="2794" max="2799" width="2.5703125" style="10" customWidth="1"/>
    <col min="2800" max="2823" width="3" style="10" customWidth="1"/>
    <col min="2824" max="2824" width="2.7109375" style="10"/>
    <col min="2825" max="2825" width="0.85546875" style="10" customWidth="1"/>
    <col min="2826" max="3043" width="2.7109375" style="10"/>
    <col min="3044" max="3044" width="0.7109375" style="10" customWidth="1"/>
    <col min="3045" max="3045" width="2.7109375" style="10"/>
    <col min="3046" max="3049" width="3" style="10" customWidth="1"/>
    <col min="3050" max="3055" width="2.5703125" style="10" customWidth="1"/>
    <col min="3056" max="3079" width="3" style="10" customWidth="1"/>
    <col min="3080" max="3080" width="2.7109375" style="10"/>
    <col min="3081" max="3081" width="0.85546875" style="10" customWidth="1"/>
    <col min="3082" max="3299" width="2.7109375" style="10"/>
    <col min="3300" max="3300" width="0.7109375" style="10" customWidth="1"/>
    <col min="3301" max="3301" width="2.7109375" style="10"/>
    <col min="3302" max="3305" width="3" style="10" customWidth="1"/>
    <col min="3306" max="3311" width="2.5703125" style="10" customWidth="1"/>
    <col min="3312" max="3335" width="3" style="10" customWidth="1"/>
    <col min="3336" max="3336" width="2.7109375" style="10"/>
    <col min="3337" max="3337" width="0.85546875" style="10" customWidth="1"/>
    <col min="3338" max="3555" width="2.7109375" style="10"/>
    <col min="3556" max="3556" width="0.7109375" style="10" customWidth="1"/>
    <col min="3557" max="3557" width="2.7109375" style="10"/>
    <col min="3558" max="3561" width="3" style="10" customWidth="1"/>
    <col min="3562" max="3567" width="2.5703125" style="10" customWidth="1"/>
    <col min="3568" max="3591" width="3" style="10" customWidth="1"/>
    <col min="3592" max="3592" width="2.7109375" style="10"/>
    <col min="3593" max="3593" width="0.85546875" style="10" customWidth="1"/>
    <col min="3594" max="3811" width="2.7109375" style="10"/>
    <col min="3812" max="3812" width="0.7109375" style="10" customWidth="1"/>
    <col min="3813" max="3813" width="2.7109375" style="10"/>
    <col min="3814" max="3817" width="3" style="10" customWidth="1"/>
    <col min="3818" max="3823" width="2.5703125" style="10" customWidth="1"/>
    <col min="3824" max="3847" width="3" style="10" customWidth="1"/>
    <col min="3848" max="3848" width="2.7109375" style="10"/>
    <col min="3849" max="3849" width="0.85546875" style="10" customWidth="1"/>
    <col min="3850" max="4067" width="2.7109375" style="10"/>
    <col min="4068" max="4068" width="0.7109375" style="10" customWidth="1"/>
    <col min="4069" max="4069" width="2.7109375" style="10"/>
    <col min="4070" max="4073" width="3" style="10" customWidth="1"/>
    <col min="4074" max="4079" width="2.5703125" style="10" customWidth="1"/>
    <col min="4080" max="4103" width="3" style="10" customWidth="1"/>
    <col min="4104" max="4104" width="2.7109375" style="10"/>
    <col min="4105" max="4105" width="0.85546875" style="10" customWidth="1"/>
    <col min="4106" max="4323" width="2.7109375" style="10"/>
    <col min="4324" max="4324" width="0.7109375" style="10" customWidth="1"/>
    <col min="4325" max="4325" width="2.7109375" style="10"/>
    <col min="4326" max="4329" width="3" style="10" customWidth="1"/>
    <col min="4330" max="4335" width="2.5703125" style="10" customWidth="1"/>
    <col min="4336" max="4359" width="3" style="10" customWidth="1"/>
    <col min="4360" max="4360" width="2.7109375" style="10"/>
    <col min="4361" max="4361" width="0.85546875" style="10" customWidth="1"/>
    <col min="4362" max="4579" width="2.7109375" style="10"/>
    <col min="4580" max="4580" width="0.7109375" style="10" customWidth="1"/>
    <col min="4581" max="4581" width="2.7109375" style="10"/>
    <col min="4582" max="4585" width="3" style="10" customWidth="1"/>
    <col min="4586" max="4591" width="2.5703125" style="10" customWidth="1"/>
    <col min="4592" max="4615" width="3" style="10" customWidth="1"/>
    <col min="4616" max="4616" width="2.7109375" style="10"/>
    <col min="4617" max="4617" width="0.85546875" style="10" customWidth="1"/>
    <col min="4618" max="4835" width="2.7109375" style="10"/>
    <col min="4836" max="4836" width="0.7109375" style="10" customWidth="1"/>
    <col min="4837" max="4837" width="2.7109375" style="10"/>
    <col min="4838" max="4841" width="3" style="10" customWidth="1"/>
    <col min="4842" max="4847" width="2.5703125" style="10" customWidth="1"/>
    <col min="4848" max="4871" width="3" style="10" customWidth="1"/>
    <col min="4872" max="4872" width="2.7109375" style="10"/>
    <col min="4873" max="4873" width="0.85546875" style="10" customWidth="1"/>
    <col min="4874" max="5091" width="2.7109375" style="10"/>
    <col min="5092" max="5092" width="0.7109375" style="10" customWidth="1"/>
    <col min="5093" max="5093" width="2.7109375" style="10"/>
    <col min="5094" max="5097" width="3" style="10" customWidth="1"/>
    <col min="5098" max="5103" width="2.5703125" style="10" customWidth="1"/>
    <col min="5104" max="5127" width="3" style="10" customWidth="1"/>
    <col min="5128" max="5128" width="2.7109375" style="10"/>
    <col min="5129" max="5129" width="0.85546875" style="10" customWidth="1"/>
    <col min="5130" max="5347" width="2.7109375" style="10"/>
    <col min="5348" max="5348" width="0.7109375" style="10" customWidth="1"/>
    <col min="5349" max="5349" width="2.7109375" style="10"/>
    <col min="5350" max="5353" width="3" style="10" customWidth="1"/>
    <col min="5354" max="5359" width="2.5703125" style="10" customWidth="1"/>
    <col min="5360" max="5383" width="3" style="10" customWidth="1"/>
    <col min="5384" max="5384" width="2.7109375" style="10"/>
    <col min="5385" max="5385" width="0.85546875" style="10" customWidth="1"/>
    <col min="5386" max="5603" width="2.7109375" style="10"/>
    <col min="5604" max="5604" width="0.7109375" style="10" customWidth="1"/>
    <col min="5605" max="5605" width="2.7109375" style="10"/>
    <col min="5606" max="5609" width="3" style="10" customWidth="1"/>
    <col min="5610" max="5615" width="2.5703125" style="10" customWidth="1"/>
    <col min="5616" max="5639" width="3" style="10" customWidth="1"/>
    <col min="5640" max="5640" width="2.7109375" style="10"/>
    <col min="5641" max="5641" width="0.85546875" style="10" customWidth="1"/>
    <col min="5642" max="5859" width="2.7109375" style="10"/>
    <col min="5860" max="5860" width="0.7109375" style="10" customWidth="1"/>
    <col min="5861" max="5861" width="2.7109375" style="10"/>
    <col min="5862" max="5865" width="3" style="10" customWidth="1"/>
    <col min="5866" max="5871" width="2.5703125" style="10" customWidth="1"/>
    <col min="5872" max="5895" width="3" style="10" customWidth="1"/>
    <col min="5896" max="5896" width="2.7109375" style="10"/>
    <col min="5897" max="5897" width="0.85546875" style="10" customWidth="1"/>
    <col min="5898" max="6115" width="2.7109375" style="10"/>
    <col min="6116" max="6116" width="0.7109375" style="10" customWidth="1"/>
    <col min="6117" max="6117" width="2.7109375" style="10"/>
    <col min="6118" max="6121" width="3" style="10" customWidth="1"/>
    <col min="6122" max="6127" width="2.5703125" style="10" customWidth="1"/>
    <col min="6128" max="6151" width="3" style="10" customWidth="1"/>
    <col min="6152" max="6152" width="2.7109375" style="10"/>
    <col min="6153" max="6153" width="0.85546875" style="10" customWidth="1"/>
    <col min="6154" max="6371" width="2.7109375" style="10"/>
    <col min="6372" max="6372" width="0.7109375" style="10" customWidth="1"/>
    <col min="6373" max="6373" width="2.7109375" style="10"/>
    <col min="6374" max="6377" width="3" style="10" customWidth="1"/>
    <col min="6378" max="6383" width="2.5703125" style="10" customWidth="1"/>
    <col min="6384" max="6407" width="3" style="10" customWidth="1"/>
    <col min="6408" max="6408" width="2.7109375" style="10"/>
    <col min="6409" max="6409" width="0.85546875" style="10" customWidth="1"/>
    <col min="6410" max="6627" width="2.7109375" style="10"/>
    <col min="6628" max="6628" width="0.7109375" style="10" customWidth="1"/>
    <col min="6629" max="6629" width="2.7109375" style="10"/>
    <col min="6630" max="6633" width="3" style="10" customWidth="1"/>
    <col min="6634" max="6639" width="2.5703125" style="10" customWidth="1"/>
    <col min="6640" max="6663" width="3" style="10" customWidth="1"/>
    <col min="6664" max="6664" width="2.7109375" style="10"/>
    <col min="6665" max="6665" width="0.85546875" style="10" customWidth="1"/>
    <col min="6666" max="6883" width="2.7109375" style="10"/>
    <col min="6884" max="6884" width="0.7109375" style="10" customWidth="1"/>
    <col min="6885" max="6885" width="2.7109375" style="10"/>
    <col min="6886" max="6889" width="3" style="10" customWidth="1"/>
    <col min="6890" max="6895" width="2.5703125" style="10" customWidth="1"/>
    <col min="6896" max="6919" width="3" style="10" customWidth="1"/>
    <col min="6920" max="6920" width="2.7109375" style="10"/>
    <col min="6921" max="6921" width="0.85546875" style="10" customWidth="1"/>
    <col min="6922" max="7139" width="2.7109375" style="10"/>
    <col min="7140" max="7140" width="0.7109375" style="10" customWidth="1"/>
    <col min="7141" max="7141" width="2.7109375" style="10"/>
    <col min="7142" max="7145" width="3" style="10" customWidth="1"/>
    <col min="7146" max="7151" width="2.5703125" style="10" customWidth="1"/>
    <col min="7152" max="7175" width="3" style="10" customWidth="1"/>
    <col min="7176" max="7176" width="2.7109375" style="10"/>
    <col min="7177" max="7177" width="0.85546875" style="10" customWidth="1"/>
    <col min="7178" max="7395" width="2.7109375" style="10"/>
    <col min="7396" max="7396" width="0.7109375" style="10" customWidth="1"/>
    <col min="7397" max="7397" width="2.7109375" style="10"/>
    <col min="7398" max="7401" width="3" style="10" customWidth="1"/>
    <col min="7402" max="7407" width="2.5703125" style="10" customWidth="1"/>
    <col min="7408" max="7431" width="3" style="10" customWidth="1"/>
    <col min="7432" max="7432" width="2.7109375" style="10"/>
    <col min="7433" max="7433" width="0.85546875" style="10" customWidth="1"/>
    <col min="7434" max="7651" width="2.7109375" style="10"/>
    <col min="7652" max="7652" width="0.7109375" style="10" customWidth="1"/>
    <col min="7653" max="7653" width="2.7109375" style="10"/>
    <col min="7654" max="7657" width="3" style="10" customWidth="1"/>
    <col min="7658" max="7663" width="2.5703125" style="10" customWidth="1"/>
    <col min="7664" max="7687" width="3" style="10" customWidth="1"/>
    <col min="7688" max="7688" width="2.7109375" style="10"/>
    <col min="7689" max="7689" width="0.85546875" style="10" customWidth="1"/>
    <col min="7690" max="7907" width="2.7109375" style="10"/>
    <col min="7908" max="7908" width="0.7109375" style="10" customWidth="1"/>
    <col min="7909" max="7909" width="2.7109375" style="10"/>
    <col min="7910" max="7913" width="3" style="10" customWidth="1"/>
    <col min="7914" max="7919" width="2.5703125" style="10" customWidth="1"/>
    <col min="7920" max="7943" width="3" style="10" customWidth="1"/>
    <col min="7944" max="7944" width="2.7109375" style="10"/>
    <col min="7945" max="7945" width="0.85546875" style="10" customWidth="1"/>
    <col min="7946" max="8163" width="2.7109375" style="10"/>
    <col min="8164" max="8164" width="0.7109375" style="10" customWidth="1"/>
    <col min="8165" max="8165" width="2.7109375" style="10"/>
    <col min="8166" max="8169" width="3" style="10" customWidth="1"/>
    <col min="8170" max="8175" width="2.5703125" style="10" customWidth="1"/>
    <col min="8176" max="8199" width="3" style="10" customWidth="1"/>
    <col min="8200" max="8200" width="2.7109375" style="10"/>
    <col min="8201" max="8201" width="0.85546875" style="10" customWidth="1"/>
    <col min="8202" max="8419" width="2.7109375" style="10"/>
    <col min="8420" max="8420" width="0.7109375" style="10" customWidth="1"/>
    <col min="8421" max="8421" width="2.7109375" style="10"/>
    <col min="8422" max="8425" width="3" style="10" customWidth="1"/>
    <col min="8426" max="8431" width="2.5703125" style="10" customWidth="1"/>
    <col min="8432" max="8455" width="3" style="10" customWidth="1"/>
    <col min="8456" max="8456" width="2.7109375" style="10"/>
    <col min="8457" max="8457" width="0.85546875" style="10" customWidth="1"/>
    <col min="8458" max="8675" width="2.7109375" style="10"/>
    <col min="8676" max="8676" width="0.7109375" style="10" customWidth="1"/>
    <col min="8677" max="8677" width="2.7109375" style="10"/>
    <col min="8678" max="8681" width="3" style="10" customWidth="1"/>
    <col min="8682" max="8687" width="2.5703125" style="10" customWidth="1"/>
    <col min="8688" max="8711" width="3" style="10" customWidth="1"/>
    <col min="8712" max="8712" width="2.7109375" style="10"/>
    <col min="8713" max="8713" width="0.85546875" style="10" customWidth="1"/>
    <col min="8714" max="8931" width="2.7109375" style="10"/>
    <col min="8932" max="8932" width="0.7109375" style="10" customWidth="1"/>
    <col min="8933" max="8933" width="2.7109375" style="10"/>
    <col min="8934" max="8937" width="3" style="10" customWidth="1"/>
    <col min="8938" max="8943" width="2.5703125" style="10" customWidth="1"/>
    <col min="8944" max="8967" width="3" style="10" customWidth="1"/>
    <col min="8968" max="8968" width="2.7109375" style="10"/>
    <col min="8969" max="8969" width="0.85546875" style="10" customWidth="1"/>
    <col min="8970" max="9187" width="2.7109375" style="10"/>
    <col min="9188" max="9188" width="0.7109375" style="10" customWidth="1"/>
    <col min="9189" max="9189" width="2.7109375" style="10"/>
    <col min="9190" max="9193" width="3" style="10" customWidth="1"/>
    <col min="9194" max="9199" width="2.5703125" style="10" customWidth="1"/>
    <col min="9200" max="9223" width="3" style="10" customWidth="1"/>
    <col min="9224" max="9224" width="2.7109375" style="10"/>
    <col min="9225" max="9225" width="0.85546875" style="10" customWidth="1"/>
    <col min="9226" max="9443" width="2.7109375" style="10"/>
    <col min="9444" max="9444" width="0.7109375" style="10" customWidth="1"/>
    <col min="9445" max="9445" width="2.7109375" style="10"/>
    <col min="9446" max="9449" width="3" style="10" customWidth="1"/>
    <col min="9450" max="9455" width="2.5703125" style="10" customWidth="1"/>
    <col min="9456" max="9479" width="3" style="10" customWidth="1"/>
    <col min="9480" max="9480" width="2.7109375" style="10"/>
    <col min="9481" max="9481" width="0.85546875" style="10" customWidth="1"/>
    <col min="9482" max="9699" width="2.7109375" style="10"/>
    <col min="9700" max="9700" width="0.7109375" style="10" customWidth="1"/>
    <col min="9701" max="9701" width="2.7109375" style="10"/>
    <col min="9702" max="9705" width="3" style="10" customWidth="1"/>
    <col min="9706" max="9711" width="2.5703125" style="10" customWidth="1"/>
    <col min="9712" max="9735" width="3" style="10" customWidth="1"/>
    <col min="9736" max="9736" width="2.7109375" style="10"/>
    <col min="9737" max="9737" width="0.85546875" style="10" customWidth="1"/>
    <col min="9738" max="9955" width="2.7109375" style="10"/>
    <col min="9956" max="9956" width="0.7109375" style="10" customWidth="1"/>
    <col min="9957" max="9957" width="2.7109375" style="10"/>
    <col min="9958" max="9961" width="3" style="10" customWidth="1"/>
    <col min="9962" max="9967" width="2.5703125" style="10" customWidth="1"/>
    <col min="9968" max="9991" width="3" style="10" customWidth="1"/>
    <col min="9992" max="9992" width="2.7109375" style="10"/>
    <col min="9993" max="9993" width="0.85546875" style="10" customWidth="1"/>
    <col min="9994" max="10211" width="2.7109375" style="10"/>
    <col min="10212" max="10212" width="0.7109375" style="10" customWidth="1"/>
    <col min="10213" max="10213" width="2.7109375" style="10"/>
    <col min="10214" max="10217" width="3" style="10" customWidth="1"/>
    <col min="10218" max="10223" width="2.5703125" style="10" customWidth="1"/>
    <col min="10224" max="10247" width="3" style="10" customWidth="1"/>
    <col min="10248" max="10248" width="2.7109375" style="10"/>
    <col min="10249" max="10249" width="0.85546875" style="10" customWidth="1"/>
    <col min="10250" max="10467" width="2.7109375" style="10"/>
    <col min="10468" max="10468" width="0.7109375" style="10" customWidth="1"/>
    <col min="10469" max="10469" width="2.7109375" style="10"/>
    <col min="10470" max="10473" width="3" style="10" customWidth="1"/>
    <col min="10474" max="10479" width="2.5703125" style="10" customWidth="1"/>
    <col min="10480" max="10503" width="3" style="10" customWidth="1"/>
    <col min="10504" max="10504" width="2.7109375" style="10"/>
    <col min="10505" max="10505" width="0.85546875" style="10" customWidth="1"/>
    <col min="10506" max="10723" width="2.7109375" style="10"/>
    <col min="10724" max="10724" width="0.7109375" style="10" customWidth="1"/>
    <col min="10725" max="10725" width="2.7109375" style="10"/>
    <col min="10726" max="10729" width="3" style="10" customWidth="1"/>
    <col min="10730" max="10735" width="2.5703125" style="10" customWidth="1"/>
    <col min="10736" max="10759" width="3" style="10" customWidth="1"/>
    <col min="10760" max="10760" width="2.7109375" style="10"/>
    <col min="10761" max="10761" width="0.85546875" style="10" customWidth="1"/>
    <col min="10762" max="10979" width="2.7109375" style="10"/>
    <col min="10980" max="10980" width="0.7109375" style="10" customWidth="1"/>
    <col min="10981" max="10981" width="2.7109375" style="10"/>
    <col min="10982" max="10985" width="3" style="10" customWidth="1"/>
    <col min="10986" max="10991" width="2.5703125" style="10" customWidth="1"/>
    <col min="10992" max="11015" width="3" style="10" customWidth="1"/>
    <col min="11016" max="11016" width="2.7109375" style="10"/>
    <col min="11017" max="11017" width="0.85546875" style="10" customWidth="1"/>
    <col min="11018" max="11235" width="2.7109375" style="10"/>
    <col min="11236" max="11236" width="0.7109375" style="10" customWidth="1"/>
    <col min="11237" max="11237" width="2.7109375" style="10"/>
    <col min="11238" max="11241" width="3" style="10" customWidth="1"/>
    <col min="11242" max="11247" width="2.5703125" style="10" customWidth="1"/>
    <col min="11248" max="11271" width="3" style="10" customWidth="1"/>
    <col min="11272" max="11272" width="2.7109375" style="10"/>
    <col min="11273" max="11273" width="0.85546875" style="10" customWidth="1"/>
    <col min="11274" max="11491" width="2.7109375" style="10"/>
    <col min="11492" max="11492" width="0.7109375" style="10" customWidth="1"/>
    <col min="11493" max="11493" width="2.7109375" style="10"/>
    <col min="11494" max="11497" width="3" style="10" customWidth="1"/>
    <col min="11498" max="11503" width="2.5703125" style="10" customWidth="1"/>
    <col min="11504" max="11527" width="3" style="10" customWidth="1"/>
    <col min="11528" max="11528" width="2.7109375" style="10"/>
    <col min="11529" max="11529" width="0.85546875" style="10" customWidth="1"/>
    <col min="11530" max="11747" width="2.7109375" style="10"/>
    <col min="11748" max="11748" width="0.7109375" style="10" customWidth="1"/>
    <col min="11749" max="11749" width="2.7109375" style="10"/>
    <col min="11750" max="11753" width="3" style="10" customWidth="1"/>
    <col min="11754" max="11759" width="2.5703125" style="10" customWidth="1"/>
    <col min="11760" max="11783" width="3" style="10" customWidth="1"/>
    <col min="11784" max="11784" width="2.7109375" style="10"/>
    <col min="11785" max="11785" width="0.85546875" style="10" customWidth="1"/>
    <col min="11786" max="12003" width="2.7109375" style="10"/>
    <col min="12004" max="12004" width="0.7109375" style="10" customWidth="1"/>
    <col min="12005" max="12005" width="2.7109375" style="10"/>
    <col min="12006" max="12009" width="3" style="10" customWidth="1"/>
    <col min="12010" max="12015" width="2.5703125" style="10" customWidth="1"/>
    <col min="12016" max="12039" width="3" style="10" customWidth="1"/>
    <col min="12040" max="12040" width="2.7109375" style="10"/>
    <col min="12041" max="12041" width="0.85546875" style="10" customWidth="1"/>
    <col min="12042" max="12259" width="2.7109375" style="10"/>
    <col min="12260" max="12260" width="0.7109375" style="10" customWidth="1"/>
    <col min="12261" max="12261" width="2.7109375" style="10"/>
    <col min="12262" max="12265" width="3" style="10" customWidth="1"/>
    <col min="12266" max="12271" width="2.5703125" style="10" customWidth="1"/>
    <col min="12272" max="12295" width="3" style="10" customWidth="1"/>
    <col min="12296" max="12296" width="2.7109375" style="10"/>
    <col min="12297" max="12297" width="0.85546875" style="10" customWidth="1"/>
    <col min="12298" max="12515" width="2.7109375" style="10"/>
    <col min="12516" max="12516" width="0.7109375" style="10" customWidth="1"/>
    <col min="12517" max="12517" width="2.7109375" style="10"/>
    <col min="12518" max="12521" width="3" style="10" customWidth="1"/>
    <col min="12522" max="12527" width="2.5703125" style="10" customWidth="1"/>
    <col min="12528" max="12551" width="3" style="10" customWidth="1"/>
    <col min="12552" max="12552" width="2.7109375" style="10"/>
    <col min="12553" max="12553" width="0.85546875" style="10" customWidth="1"/>
    <col min="12554" max="12771" width="2.7109375" style="10"/>
    <col min="12772" max="12772" width="0.7109375" style="10" customWidth="1"/>
    <col min="12773" max="12773" width="2.7109375" style="10"/>
    <col min="12774" max="12777" width="3" style="10" customWidth="1"/>
    <col min="12778" max="12783" width="2.5703125" style="10" customWidth="1"/>
    <col min="12784" max="12807" width="3" style="10" customWidth="1"/>
    <col min="12808" max="12808" width="2.7109375" style="10"/>
    <col min="12809" max="12809" width="0.85546875" style="10" customWidth="1"/>
    <col min="12810" max="13027" width="2.7109375" style="10"/>
    <col min="13028" max="13028" width="0.7109375" style="10" customWidth="1"/>
    <col min="13029" max="13029" width="2.7109375" style="10"/>
    <col min="13030" max="13033" width="3" style="10" customWidth="1"/>
    <col min="13034" max="13039" width="2.5703125" style="10" customWidth="1"/>
    <col min="13040" max="13063" width="3" style="10" customWidth="1"/>
    <col min="13064" max="13064" width="2.7109375" style="10"/>
    <col min="13065" max="13065" width="0.85546875" style="10" customWidth="1"/>
    <col min="13066" max="13283" width="2.7109375" style="10"/>
    <col min="13284" max="13284" width="0.7109375" style="10" customWidth="1"/>
    <col min="13285" max="13285" width="2.7109375" style="10"/>
    <col min="13286" max="13289" width="3" style="10" customWidth="1"/>
    <col min="13290" max="13295" width="2.5703125" style="10" customWidth="1"/>
    <col min="13296" max="13319" width="3" style="10" customWidth="1"/>
    <col min="13320" max="13320" width="2.7109375" style="10"/>
    <col min="13321" max="13321" width="0.85546875" style="10" customWidth="1"/>
    <col min="13322" max="13539" width="2.7109375" style="10"/>
    <col min="13540" max="13540" width="0.7109375" style="10" customWidth="1"/>
    <col min="13541" max="13541" width="2.7109375" style="10"/>
    <col min="13542" max="13545" width="3" style="10" customWidth="1"/>
    <col min="13546" max="13551" width="2.5703125" style="10" customWidth="1"/>
    <col min="13552" max="13575" width="3" style="10" customWidth="1"/>
    <col min="13576" max="13576" width="2.7109375" style="10"/>
    <col min="13577" max="13577" width="0.85546875" style="10" customWidth="1"/>
    <col min="13578" max="13795" width="2.7109375" style="10"/>
    <col min="13796" max="13796" width="0.7109375" style="10" customWidth="1"/>
    <col min="13797" max="13797" width="2.7109375" style="10"/>
    <col min="13798" max="13801" width="3" style="10" customWidth="1"/>
    <col min="13802" max="13807" width="2.5703125" style="10" customWidth="1"/>
    <col min="13808" max="13831" width="3" style="10" customWidth="1"/>
    <col min="13832" max="13832" width="2.7109375" style="10"/>
    <col min="13833" max="13833" width="0.85546875" style="10" customWidth="1"/>
    <col min="13834" max="14051" width="2.7109375" style="10"/>
    <col min="14052" max="14052" width="0.7109375" style="10" customWidth="1"/>
    <col min="14053" max="14053" width="2.7109375" style="10"/>
    <col min="14054" max="14057" width="3" style="10" customWidth="1"/>
    <col min="14058" max="14063" width="2.5703125" style="10" customWidth="1"/>
    <col min="14064" max="14087" width="3" style="10" customWidth="1"/>
    <col min="14088" max="14088" width="2.7109375" style="10"/>
    <col min="14089" max="14089" width="0.85546875" style="10" customWidth="1"/>
    <col min="14090" max="14307" width="2.7109375" style="10"/>
    <col min="14308" max="14308" width="0.7109375" style="10" customWidth="1"/>
    <col min="14309" max="14309" width="2.7109375" style="10"/>
    <col min="14310" max="14313" width="3" style="10" customWidth="1"/>
    <col min="14314" max="14319" width="2.5703125" style="10" customWidth="1"/>
    <col min="14320" max="14343" width="3" style="10" customWidth="1"/>
    <col min="14344" max="14344" width="2.7109375" style="10"/>
    <col min="14345" max="14345" width="0.85546875" style="10" customWidth="1"/>
    <col min="14346" max="14563" width="2.7109375" style="10"/>
    <col min="14564" max="14564" width="0.7109375" style="10" customWidth="1"/>
    <col min="14565" max="14565" width="2.7109375" style="10"/>
    <col min="14566" max="14569" width="3" style="10" customWidth="1"/>
    <col min="14570" max="14575" width="2.5703125" style="10" customWidth="1"/>
    <col min="14576" max="14599" width="3" style="10" customWidth="1"/>
    <col min="14600" max="14600" width="2.7109375" style="10"/>
    <col min="14601" max="14601" width="0.85546875" style="10" customWidth="1"/>
    <col min="14602" max="14819" width="2.7109375" style="10"/>
    <col min="14820" max="14820" width="0.7109375" style="10" customWidth="1"/>
    <col min="14821" max="14821" width="2.7109375" style="10"/>
    <col min="14822" max="14825" width="3" style="10" customWidth="1"/>
    <col min="14826" max="14831" width="2.5703125" style="10" customWidth="1"/>
    <col min="14832" max="14855" width="3" style="10" customWidth="1"/>
    <col min="14856" max="14856" width="2.7109375" style="10"/>
    <col min="14857" max="14857" width="0.85546875" style="10" customWidth="1"/>
    <col min="14858" max="15075" width="2.7109375" style="10"/>
    <col min="15076" max="15076" width="0.7109375" style="10" customWidth="1"/>
    <col min="15077" max="15077" width="2.7109375" style="10"/>
    <col min="15078" max="15081" width="3" style="10" customWidth="1"/>
    <col min="15082" max="15087" width="2.5703125" style="10" customWidth="1"/>
    <col min="15088" max="15111" width="3" style="10" customWidth="1"/>
    <col min="15112" max="15112" width="2.7109375" style="10"/>
    <col min="15113" max="15113" width="0.85546875" style="10" customWidth="1"/>
    <col min="15114" max="15331" width="2.7109375" style="10"/>
    <col min="15332" max="15332" width="0.7109375" style="10" customWidth="1"/>
    <col min="15333" max="15333" width="2.7109375" style="10"/>
    <col min="15334" max="15337" width="3" style="10" customWidth="1"/>
    <col min="15338" max="15343" width="2.5703125" style="10" customWidth="1"/>
    <col min="15344" max="15367" width="3" style="10" customWidth="1"/>
    <col min="15368" max="15368" width="2.7109375" style="10"/>
    <col min="15369" max="15369" width="0.85546875" style="10" customWidth="1"/>
    <col min="15370" max="15587" width="2.7109375" style="10"/>
    <col min="15588" max="15588" width="0.7109375" style="10" customWidth="1"/>
    <col min="15589" max="15589" width="2.7109375" style="10"/>
    <col min="15590" max="15593" width="3" style="10" customWidth="1"/>
    <col min="15594" max="15599" width="2.5703125" style="10" customWidth="1"/>
    <col min="15600" max="15623" width="3" style="10" customWidth="1"/>
    <col min="15624" max="15624" width="2.7109375" style="10"/>
    <col min="15625" max="15625" width="0.85546875" style="10" customWidth="1"/>
    <col min="15626" max="15843" width="2.7109375" style="10"/>
    <col min="15844" max="15844" width="0.7109375" style="10" customWidth="1"/>
    <col min="15845" max="15845" width="2.7109375" style="10"/>
    <col min="15846" max="15849" width="3" style="10" customWidth="1"/>
    <col min="15850" max="15855" width="2.5703125" style="10" customWidth="1"/>
    <col min="15856" max="15879" width="3" style="10" customWidth="1"/>
    <col min="15880" max="15880" width="2.7109375" style="10"/>
    <col min="15881" max="15881" width="0.85546875" style="10" customWidth="1"/>
    <col min="15882" max="16099" width="2.7109375" style="10"/>
    <col min="16100" max="16100" width="0.7109375" style="10" customWidth="1"/>
    <col min="16101" max="16101" width="2.7109375" style="10"/>
    <col min="16102" max="16105" width="3" style="10" customWidth="1"/>
    <col min="16106" max="16111" width="2.5703125" style="10" customWidth="1"/>
    <col min="16112" max="16135" width="3" style="10" customWidth="1"/>
    <col min="16136" max="16136" width="2.7109375" style="10"/>
    <col min="16137" max="16137" width="0.85546875" style="10" customWidth="1"/>
    <col min="16138" max="16384" width="2.7109375" style="10"/>
  </cols>
  <sheetData>
    <row r="1" spans="1:40" ht="9.9499999999999993" customHeight="1" x14ac:dyDescent="0.25"/>
    <row r="2" spans="1:40" ht="9.9499999999999993" customHeight="1" x14ac:dyDescent="0.25">
      <c r="B2" s="16"/>
      <c r="C2" s="17"/>
      <c r="D2" s="17"/>
      <c r="E2" s="17"/>
      <c r="F2" s="17"/>
      <c r="G2" s="17"/>
      <c r="H2" s="128" t="s">
        <v>533</v>
      </c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7"/>
      <c r="AD2" s="17"/>
      <c r="AE2" s="17"/>
      <c r="AF2" s="17"/>
      <c r="AG2" s="17"/>
      <c r="AH2" s="17"/>
      <c r="AI2" s="17"/>
      <c r="AJ2" s="17"/>
      <c r="AK2" s="18"/>
    </row>
    <row r="3" spans="1:40" ht="27" customHeight="1" x14ac:dyDescent="0.25">
      <c r="B3" s="1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J3" s="20"/>
      <c r="AK3" s="21"/>
    </row>
    <row r="4" spans="1:40" ht="7.5" customHeight="1" x14ac:dyDescent="0.25">
      <c r="B4" s="19"/>
      <c r="AK4" s="21"/>
    </row>
    <row r="5" spans="1:40" s="11" customFormat="1" ht="13.5" customHeight="1" x14ac:dyDescent="0.25">
      <c r="A5" s="22"/>
      <c r="B5" s="23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130" t="s">
        <v>534</v>
      </c>
      <c r="W5" s="131"/>
      <c r="X5" s="131"/>
      <c r="Y5" s="131"/>
      <c r="Z5" s="131"/>
      <c r="AA5" s="131"/>
      <c r="AB5" s="131"/>
      <c r="AC5" s="131"/>
      <c r="AD5" s="131"/>
      <c r="AE5" s="132"/>
      <c r="AF5" s="133" t="s">
        <v>535</v>
      </c>
      <c r="AG5" s="133"/>
      <c r="AH5" s="133"/>
      <c r="AI5" s="133"/>
      <c r="AJ5" s="134"/>
      <c r="AK5" s="24"/>
      <c r="AL5" s="22"/>
    </row>
    <row r="6" spans="1:40" s="11" customFormat="1" ht="13.5" customHeight="1" x14ac:dyDescent="0.25">
      <c r="A6" s="22"/>
      <c r="B6" s="23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130" t="s">
        <v>536</v>
      </c>
      <c r="W6" s="131"/>
      <c r="X6" s="131"/>
      <c r="Y6" s="131"/>
      <c r="Z6" s="135"/>
      <c r="AA6" s="130" t="s">
        <v>537</v>
      </c>
      <c r="AB6" s="131"/>
      <c r="AC6" s="131"/>
      <c r="AD6" s="131"/>
      <c r="AE6" s="132"/>
      <c r="AF6" s="136" t="s">
        <v>538</v>
      </c>
      <c r="AG6" s="136"/>
      <c r="AH6" s="136"/>
      <c r="AI6" s="136"/>
      <c r="AJ6" s="137"/>
      <c r="AK6" s="24"/>
      <c r="AL6" s="22"/>
    </row>
    <row r="7" spans="1:40" s="11" customFormat="1" ht="13.5" customHeight="1" x14ac:dyDescent="0.25">
      <c r="A7" s="22"/>
      <c r="B7" s="23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5"/>
      <c r="W7" s="26"/>
      <c r="X7" s="26"/>
      <c r="Y7" s="26"/>
      <c r="Z7" s="27"/>
      <c r="AA7" s="25"/>
      <c r="AB7" s="26"/>
      <c r="AC7" s="26"/>
      <c r="AD7" s="26"/>
      <c r="AE7" s="28"/>
      <c r="AF7" s="22"/>
      <c r="AG7" s="22"/>
      <c r="AH7" s="22"/>
      <c r="AI7" s="22"/>
      <c r="AJ7" s="24"/>
      <c r="AK7" s="24"/>
      <c r="AL7" s="22"/>
    </row>
    <row r="8" spans="1:40" s="11" customFormat="1" ht="13.5" customHeight="1" x14ac:dyDescent="0.2">
      <c r="A8" s="22"/>
      <c r="B8" s="23"/>
      <c r="C8" s="29" t="s">
        <v>539</v>
      </c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3"/>
      <c r="W8" s="22"/>
      <c r="X8" s="22"/>
      <c r="Y8" s="22"/>
      <c r="Z8" s="24"/>
      <c r="AA8" s="23"/>
      <c r="AB8" s="22"/>
      <c r="AC8" s="22"/>
      <c r="AD8" s="22"/>
      <c r="AE8" s="30"/>
      <c r="AF8" s="22"/>
      <c r="AG8" s="22"/>
      <c r="AH8" s="22"/>
      <c r="AI8" s="22"/>
      <c r="AJ8" s="24"/>
      <c r="AK8" s="24"/>
      <c r="AL8" s="22"/>
    </row>
    <row r="9" spans="1:40" s="11" customFormat="1" ht="13.5" customHeight="1" x14ac:dyDescent="0.25">
      <c r="A9" s="22"/>
      <c r="B9" s="23"/>
      <c r="C9" s="22"/>
      <c r="D9" s="22"/>
      <c r="E9" s="22"/>
      <c r="F9" s="22"/>
      <c r="G9" s="22"/>
      <c r="H9" s="22"/>
      <c r="I9" s="22"/>
      <c r="J9" s="138" t="s">
        <v>540</v>
      </c>
      <c r="K9" s="138"/>
      <c r="L9" s="138"/>
      <c r="M9" s="138"/>
      <c r="N9" s="138"/>
      <c r="O9" s="138"/>
      <c r="P9" s="138"/>
      <c r="Q9" s="138"/>
      <c r="R9" s="138"/>
      <c r="S9" s="138"/>
      <c r="T9" s="22"/>
      <c r="U9" s="22"/>
      <c r="V9" s="23"/>
      <c r="W9" s="22"/>
      <c r="X9" s="22"/>
      <c r="Y9" s="22"/>
      <c r="Z9" s="24"/>
      <c r="AA9" s="23"/>
      <c r="AB9" s="22"/>
      <c r="AC9" s="22"/>
      <c r="AD9" s="22"/>
      <c r="AE9" s="30"/>
      <c r="AF9" s="22"/>
      <c r="AG9" s="22"/>
      <c r="AH9" s="22"/>
      <c r="AI9" s="22"/>
      <c r="AJ9" s="24"/>
      <c r="AK9" s="24"/>
      <c r="AL9" s="22"/>
    </row>
    <row r="10" spans="1:40" s="11" customFormat="1" ht="13.5" customHeight="1" x14ac:dyDescent="0.25">
      <c r="A10" s="22"/>
      <c r="B10" s="23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3"/>
      <c r="W10" s="22"/>
      <c r="X10" s="22"/>
      <c r="Y10" s="22"/>
      <c r="Z10" s="24"/>
      <c r="AA10" s="23"/>
      <c r="AB10" s="22"/>
      <c r="AC10" s="22"/>
      <c r="AD10" s="22"/>
      <c r="AE10" s="30"/>
      <c r="AF10" s="22"/>
      <c r="AG10" s="22"/>
      <c r="AH10" s="22"/>
      <c r="AI10" s="22"/>
      <c r="AJ10" s="24"/>
      <c r="AK10" s="24"/>
      <c r="AL10" s="22"/>
    </row>
    <row r="11" spans="1:40" s="11" customFormat="1" ht="13.5" customHeight="1" x14ac:dyDescent="0.25">
      <c r="A11" s="22"/>
      <c r="B11" s="23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31"/>
      <c r="W11" s="32"/>
      <c r="X11" s="32"/>
      <c r="Y11" s="32"/>
      <c r="Z11" s="33"/>
      <c r="AA11" s="31"/>
      <c r="AB11" s="32"/>
      <c r="AC11" s="32"/>
      <c r="AD11" s="32"/>
      <c r="AE11" s="34"/>
      <c r="AF11" s="32"/>
      <c r="AG11" s="32"/>
      <c r="AH11" s="32"/>
      <c r="AI11" s="32"/>
      <c r="AJ11" s="33"/>
      <c r="AK11" s="24"/>
      <c r="AL11" s="22"/>
    </row>
    <row r="12" spans="1:40" s="11" customFormat="1" ht="13.5" customHeight="1" x14ac:dyDescent="0.25">
      <c r="A12" s="22"/>
      <c r="B12" s="23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3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4"/>
      <c r="AL12" s="22"/>
    </row>
    <row r="13" spans="1:40" s="12" customFormat="1" ht="21.75" customHeight="1" x14ac:dyDescent="0.25">
      <c r="A13" s="35"/>
      <c r="B13" s="36"/>
      <c r="C13" s="118" t="s">
        <v>604</v>
      </c>
      <c r="D13" s="119"/>
      <c r="E13" s="119"/>
      <c r="F13" s="119"/>
      <c r="G13" s="119"/>
      <c r="H13" s="119"/>
      <c r="I13" s="119"/>
      <c r="J13" s="106"/>
      <c r="K13" s="120" t="str">
        <f>VLOOKUP($AN$15,UPDATED!$A:$J,9,)</f>
        <v>LSI HQ PD DIV. PD THD/SOP ASSY DEPT.</v>
      </c>
      <c r="L13" s="121"/>
      <c r="M13" s="121"/>
      <c r="N13" s="121"/>
      <c r="O13" s="121"/>
      <c r="P13" s="121"/>
      <c r="Q13" s="121"/>
      <c r="R13" s="121"/>
      <c r="S13" s="122"/>
      <c r="T13" s="123" t="s">
        <v>541</v>
      </c>
      <c r="U13" s="119"/>
      <c r="V13" s="119"/>
      <c r="W13" s="119"/>
      <c r="X13" s="119"/>
      <c r="Y13" s="119"/>
      <c r="Z13" s="119"/>
      <c r="AA13" s="106"/>
      <c r="AB13" s="120" t="str">
        <f>VLOOKUP($AN$15,UPDATED!$A:$J,8,)</f>
        <v>RAFAEL CRUCERO</v>
      </c>
      <c r="AC13" s="121"/>
      <c r="AD13" s="121"/>
      <c r="AE13" s="121"/>
      <c r="AF13" s="121"/>
      <c r="AG13" s="121"/>
      <c r="AH13" s="121"/>
      <c r="AI13" s="121"/>
      <c r="AJ13" s="122"/>
      <c r="AK13" s="37"/>
      <c r="AL13" s="35"/>
    </row>
    <row r="14" spans="1:40" s="12" customFormat="1" ht="21.75" customHeight="1" x14ac:dyDescent="0.25">
      <c r="A14" s="35"/>
      <c r="B14" s="36"/>
      <c r="C14" s="118" t="s">
        <v>543</v>
      </c>
      <c r="D14" s="119"/>
      <c r="E14" s="119"/>
      <c r="F14" s="119"/>
      <c r="G14" s="119"/>
      <c r="H14" s="119"/>
      <c r="I14" s="119"/>
      <c r="J14" s="106"/>
      <c r="K14" s="120" t="str">
        <f>VLOOKUP($AN$15,UPDATED!$A:$J,2,)</f>
        <v>RNEU-02T-1411</v>
      </c>
      <c r="L14" s="121"/>
      <c r="M14" s="121"/>
      <c r="N14" s="121"/>
      <c r="O14" s="121"/>
      <c r="P14" s="121"/>
      <c r="Q14" s="121"/>
      <c r="R14" s="121"/>
      <c r="S14" s="122"/>
      <c r="T14" s="123" t="s">
        <v>544</v>
      </c>
      <c r="U14" s="119"/>
      <c r="V14" s="119"/>
      <c r="W14" s="119"/>
      <c r="X14" s="119"/>
      <c r="Y14" s="119"/>
      <c r="Z14" s="119"/>
      <c r="AA14" s="106"/>
      <c r="AB14" s="120" t="str">
        <f>VLOOKUP($AN$15,UPDATED!$A:$J,3,)</f>
        <v>FT TESTER</v>
      </c>
      <c r="AC14" s="121"/>
      <c r="AD14" s="121"/>
      <c r="AE14" s="121"/>
      <c r="AF14" s="121"/>
      <c r="AG14" s="121"/>
      <c r="AH14" s="121"/>
      <c r="AI14" s="121"/>
      <c r="AJ14" s="122"/>
      <c r="AK14" s="37"/>
      <c r="AL14" s="35"/>
      <c r="AN14" s="13" t="s">
        <v>606</v>
      </c>
    </row>
    <row r="15" spans="1:40" s="12" customFormat="1" ht="21.75" customHeight="1" x14ac:dyDescent="0.25">
      <c r="A15" s="35"/>
      <c r="B15" s="36"/>
      <c r="C15" s="118" t="s">
        <v>546</v>
      </c>
      <c r="D15" s="119"/>
      <c r="E15" s="119"/>
      <c r="F15" s="119"/>
      <c r="G15" s="119"/>
      <c r="H15" s="119"/>
      <c r="I15" s="119"/>
      <c r="J15" s="106"/>
      <c r="K15" s="120" t="str">
        <f>VLOOKUP($AN$15,UPDATED!$A:$J,4,)&amp;" - "&amp;VLOOKUP($AN$15,UPDATED!$A:$J,5,)</f>
        <v>RSX5000 - SPANDNIX</v>
      </c>
      <c r="L15" s="121"/>
      <c r="M15" s="121"/>
      <c r="N15" s="121"/>
      <c r="O15" s="121"/>
      <c r="P15" s="121"/>
      <c r="Q15" s="121"/>
      <c r="R15" s="121"/>
      <c r="S15" s="122"/>
      <c r="T15" s="123" t="s">
        <v>547</v>
      </c>
      <c r="U15" s="119"/>
      <c r="V15" s="119"/>
      <c r="W15" s="119"/>
      <c r="X15" s="119"/>
      <c r="Y15" s="119"/>
      <c r="Z15" s="119"/>
      <c r="AA15" s="106"/>
      <c r="AB15" s="73" t="str">
        <f>AN15</f>
        <v>165TSX</v>
      </c>
      <c r="AC15" s="74"/>
      <c r="AD15" s="74"/>
      <c r="AE15" s="74"/>
      <c r="AF15" s="74"/>
      <c r="AG15" s="74"/>
      <c r="AH15" s="74"/>
      <c r="AI15" s="74"/>
      <c r="AJ15" s="75"/>
      <c r="AK15" s="37"/>
      <c r="AL15" s="35"/>
      <c r="AN15" s="14" t="str">
        <f>VLOOKUP(UPDATED!N1, UPDATED!A:J, 1,FALSE)</f>
        <v>165TSX</v>
      </c>
    </row>
    <row r="16" spans="1:40" s="12" customFormat="1" ht="21.75" customHeight="1" x14ac:dyDescent="0.25">
      <c r="A16" s="35"/>
      <c r="B16" s="36"/>
      <c r="C16" s="118" t="s">
        <v>549</v>
      </c>
      <c r="D16" s="119"/>
      <c r="E16" s="119"/>
      <c r="F16" s="119"/>
      <c r="G16" s="119"/>
      <c r="H16" s="119"/>
      <c r="I16" s="119"/>
      <c r="J16" s="106"/>
      <c r="K16" s="124">
        <f>VLOOKUP($AN$15,UPDATED!$A:$J,10,)</f>
        <v>46032</v>
      </c>
      <c r="L16" s="125"/>
      <c r="M16" s="125"/>
      <c r="N16" s="125"/>
      <c r="O16" s="125"/>
      <c r="P16" s="125"/>
      <c r="Q16" s="125"/>
      <c r="R16" s="125"/>
      <c r="S16" s="126"/>
      <c r="T16" s="123" t="s">
        <v>550</v>
      </c>
      <c r="U16" s="119"/>
      <c r="V16" s="119"/>
      <c r="W16" s="119"/>
      <c r="X16" s="119"/>
      <c r="Y16" s="119"/>
      <c r="Z16" s="119"/>
      <c r="AA16" s="106"/>
      <c r="AB16" s="38"/>
      <c r="AC16" s="127">
        <v>24</v>
      </c>
      <c r="AD16" s="127"/>
      <c r="AE16" s="39" t="s">
        <v>551</v>
      </c>
      <c r="AF16" s="127">
        <v>50</v>
      </c>
      <c r="AG16" s="127"/>
      <c r="AH16" s="39" t="s">
        <v>552</v>
      </c>
      <c r="AI16" s="40"/>
      <c r="AJ16" s="41"/>
      <c r="AK16" s="37"/>
      <c r="AL16" s="35"/>
    </row>
    <row r="17" spans="1:42" s="12" customFormat="1" ht="7.5" customHeight="1" x14ac:dyDescent="0.25">
      <c r="A17" s="35"/>
      <c r="B17" s="36"/>
      <c r="C17" s="65"/>
      <c r="D17" s="65"/>
      <c r="E17" s="65"/>
      <c r="F17" s="65"/>
      <c r="G17" s="65"/>
      <c r="H17" s="65"/>
      <c r="I17" s="65"/>
      <c r="J17" s="65"/>
      <c r="K17" s="35"/>
      <c r="L17" s="35"/>
      <c r="M17" s="35"/>
      <c r="N17" s="35"/>
      <c r="O17" s="35"/>
      <c r="P17" s="35"/>
      <c r="Q17" s="35"/>
      <c r="R17" s="35"/>
      <c r="S17" s="35"/>
      <c r="T17" s="65"/>
      <c r="U17" s="65"/>
      <c r="V17" s="65"/>
      <c r="W17" s="65"/>
      <c r="X17" s="65"/>
      <c r="Y17" s="65"/>
      <c r="Z17" s="65"/>
      <c r="AA17" s="65"/>
      <c r="AB17" s="35"/>
      <c r="AC17" s="35"/>
      <c r="AD17" s="43"/>
      <c r="AE17" s="43"/>
      <c r="AF17" s="35"/>
      <c r="AG17" s="35"/>
      <c r="AH17" s="43"/>
      <c r="AI17" s="35"/>
      <c r="AJ17" s="35"/>
      <c r="AK17" s="37"/>
      <c r="AL17" s="35"/>
    </row>
    <row r="18" spans="1:42" s="12" customFormat="1" ht="15" customHeight="1" x14ac:dyDescent="0.25">
      <c r="A18" s="35"/>
      <c r="B18" s="36"/>
      <c r="C18" s="113" t="s">
        <v>555</v>
      </c>
      <c r="D18" s="114"/>
      <c r="E18" s="114"/>
      <c r="F18" s="114"/>
      <c r="G18" s="114"/>
      <c r="H18" s="114"/>
      <c r="I18" s="114"/>
      <c r="J18" s="115"/>
      <c r="K18" s="73" t="s">
        <v>556</v>
      </c>
      <c r="L18" s="74"/>
      <c r="M18" s="74"/>
      <c r="N18" s="74"/>
      <c r="O18" s="74"/>
      <c r="P18" s="74"/>
      <c r="Q18" s="74"/>
      <c r="R18" s="74"/>
      <c r="S18" s="116"/>
      <c r="T18" s="117" t="s">
        <v>557</v>
      </c>
      <c r="U18" s="74"/>
      <c r="V18" s="74"/>
      <c r="W18" s="74"/>
      <c r="X18" s="74"/>
      <c r="Y18" s="74"/>
      <c r="Z18" s="74"/>
      <c r="AA18" s="75"/>
      <c r="AB18" s="73"/>
      <c r="AC18" s="74"/>
      <c r="AD18" s="74"/>
      <c r="AE18" s="74"/>
      <c r="AF18" s="74"/>
      <c r="AG18" s="74"/>
      <c r="AH18" s="74"/>
      <c r="AI18" s="74"/>
      <c r="AJ18" s="75"/>
      <c r="AK18" s="37"/>
      <c r="AL18" s="35"/>
    </row>
    <row r="19" spans="1:42" s="12" customFormat="1" ht="7.5" customHeight="1" x14ac:dyDescent="0.25">
      <c r="A19" s="35"/>
      <c r="B19" s="36"/>
      <c r="C19" s="65"/>
      <c r="D19" s="65"/>
      <c r="E19" s="65"/>
      <c r="F19" s="65"/>
      <c r="G19" s="65"/>
      <c r="H19" s="65"/>
      <c r="I19" s="65"/>
      <c r="J19" s="65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37"/>
      <c r="AL19" s="35"/>
    </row>
    <row r="20" spans="1:42" s="12" customFormat="1" ht="13.5" customHeight="1" x14ac:dyDescent="0.25">
      <c r="A20" s="35"/>
      <c r="B20" s="36"/>
      <c r="C20" s="35" t="s">
        <v>558</v>
      </c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7"/>
      <c r="AL20" s="35"/>
    </row>
    <row r="21" spans="1:42" s="12" customFormat="1" ht="13.5" customHeight="1" x14ac:dyDescent="0.25">
      <c r="A21" s="35"/>
      <c r="B21" s="36"/>
      <c r="C21" s="35" t="s">
        <v>559</v>
      </c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7"/>
      <c r="AL21" s="35"/>
      <c r="AP21" s="12" t="s">
        <v>560</v>
      </c>
    </row>
    <row r="22" spans="1:42" s="12" customFormat="1" ht="13.5" customHeight="1" x14ac:dyDescent="0.25">
      <c r="A22" s="35"/>
      <c r="B22" s="36"/>
      <c r="C22" s="35" t="s">
        <v>561</v>
      </c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7"/>
      <c r="AL22" s="35"/>
    </row>
    <row r="23" spans="1:42" s="12" customFormat="1" ht="7.5" customHeight="1" x14ac:dyDescent="0.25">
      <c r="A23" s="35"/>
      <c r="B23" s="36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7"/>
      <c r="AL23" s="35"/>
    </row>
    <row r="24" spans="1:42" s="12" customFormat="1" ht="13.5" customHeight="1" x14ac:dyDescent="0.25">
      <c r="A24" s="35"/>
      <c r="B24" s="36"/>
      <c r="C24" s="73" t="s">
        <v>562</v>
      </c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5"/>
      <c r="AK24" s="37"/>
      <c r="AL24" s="35"/>
    </row>
    <row r="25" spans="1:42" s="12" customFormat="1" ht="13.5" customHeight="1" x14ac:dyDescent="0.25">
      <c r="A25" s="35"/>
      <c r="B25" s="36"/>
      <c r="C25" s="73" t="s">
        <v>563</v>
      </c>
      <c r="D25" s="74"/>
      <c r="E25" s="74"/>
      <c r="F25" s="74"/>
      <c r="G25" s="74"/>
      <c r="H25" s="74"/>
      <c r="I25" s="74"/>
      <c r="J25" s="74"/>
      <c r="K25" s="74"/>
      <c r="L25" s="75"/>
      <c r="M25" s="73" t="s">
        <v>544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5"/>
      <c r="AA25" s="73" t="s">
        <v>564</v>
      </c>
      <c r="AB25" s="74"/>
      <c r="AC25" s="74"/>
      <c r="AD25" s="74"/>
      <c r="AE25" s="74"/>
      <c r="AF25" s="74"/>
      <c r="AG25" s="74"/>
      <c r="AH25" s="74"/>
      <c r="AI25" s="74"/>
      <c r="AJ25" s="75"/>
      <c r="AK25" s="37"/>
      <c r="AL25" s="35"/>
    </row>
    <row r="26" spans="1:42" s="12" customFormat="1" ht="21.75" customHeight="1" x14ac:dyDescent="0.25">
      <c r="A26" s="35"/>
      <c r="B26" s="36"/>
      <c r="C26" s="45" t="s">
        <v>565</v>
      </c>
      <c r="D26" s="110" t="s">
        <v>566</v>
      </c>
      <c r="E26" s="110"/>
      <c r="F26" s="110"/>
      <c r="G26" s="110"/>
      <c r="H26" s="110"/>
      <c r="I26" s="110"/>
      <c r="J26" s="110"/>
      <c r="K26" s="110"/>
      <c r="L26" s="111"/>
      <c r="M26" s="73" t="s">
        <v>567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5"/>
      <c r="AA26" s="112" t="s">
        <v>568</v>
      </c>
      <c r="AB26" s="98"/>
      <c r="AC26" s="98"/>
      <c r="AD26" s="98"/>
      <c r="AE26" s="98"/>
      <c r="AF26" s="98"/>
      <c r="AG26" s="98"/>
      <c r="AH26" s="98"/>
      <c r="AI26" s="98"/>
      <c r="AJ26" s="99"/>
      <c r="AK26" s="37"/>
      <c r="AL26" s="35"/>
    </row>
    <row r="27" spans="1:42" s="12" customFormat="1" ht="21.75" customHeight="1" x14ac:dyDescent="0.25">
      <c r="A27" s="35"/>
      <c r="B27" s="36"/>
      <c r="C27" s="45" t="s">
        <v>569</v>
      </c>
      <c r="D27" s="106"/>
      <c r="E27" s="107"/>
      <c r="F27" s="107"/>
      <c r="G27" s="107"/>
      <c r="H27" s="107"/>
      <c r="I27" s="107"/>
      <c r="J27" s="107"/>
      <c r="K27" s="107"/>
      <c r="L27" s="107"/>
      <c r="M27" s="73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5"/>
      <c r="AA27" s="108"/>
      <c r="AB27" s="98"/>
      <c r="AC27" s="98"/>
      <c r="AD27" s="98"/>
      <c r="AE27" s="98"/>
      <c r="AF27" s="98"/>
      <c r="AG27" s="98"/>
      <c r="AH27" s="98"/>
      <c r="AI27" s="98"/>
      <c r="AJ27" s="99"/>
      <c r="AK27" s="37"/>
      <c r="AL27" s="35"/>
    </row>
    <row r="28" spans="1:42" s="12" customFormat="1" ht="21.75" customHeight="1" x14ac:dyDescent="0.25">
      <c r="A28" s="35"/>
      <c r="B28" s="36"/>
      <c r="C28" s="46">
        <v>3</v>
      </c>
      <c r="D28" s="106"/>
      <c r="E28" s="107"/>
      <c r="F28" s="107"/>
      <c r="G28" s="107"/>
      <c r="H28" s="107"/>
      <c r="I28" s="107"/>
      <c r="J28" s="107"/>
      <c r="K28" s="107"/>
      <c r="L28" s="107"/>
      <c r="M28" s="73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5"/>
      <c r="AA28" s="108"/>
      <c r="AB28" s="98"/>
      <c r="AC28" s="98"/>
      <c r="AD28" s="98"/>
      <c r="AE28" s="98"/>
      <c r="AF28" s="98"/>
      <c r="AG28" s="98"/>
      <c r="AH28" s="98"/>
      <c r="AI28" s="98"/>
      <c r="AJ28" s="99"/>
      <c r="AK28" s="37"/>
      <c r="AL28" s="35"/>
    </row>
    <row r="29" spans="1:42" s="12" customFormat="1" ht="21.75" customHeight="1" x14ac:dyDescent="0.25">
      <c r="A29" s="35"/>
      <c r="B29" s="36"/>
      <c r="C29" s="47" t="s">
        <v>572</v>
      </c>
      <c r="D29" s="75"/>
      <c r="E29" s="78"/>
      <c r="F29" s="78"/>
      <c r="G29" s="78"/>
      <c r="H29" s="78"/>
      <c r="I29" s="78"/>
      <c r="J29" s="78"/>
      <c r="K29" s="78"/>
      <c r="L29" s="78"/>
      <c r="M29" s="73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5"/>
      <c r="AA29" s="108"/>
      <c r="AB29" s="98"/>
      <c r="AC29" s="98"/>
      <c r="AD29" s="98"/>
      <c r="AE29" s="98"/>
      <c r="AF29" s="98"/>
      <c r="AG29" s="98"/>
      <c r="AH29" s="98"/>
      <c r="AI29" s="98"/>
      <c r="AJ29" s="99"/>
      <c r="AK29" s="37"/>
      <c r="AL29" s="35"/>
    </row>
    <row r="30" spans="1:42" s="12" customFormat="1" ht="21.75" customHeight="1" x14ac:dyDescent="0.25">
      <c r="A30" s="35"/>
      <c r="B30" s="36"/>
      <c r="C30" s="47" t="s">
        <v>574</v>
      </c>
      <c r="D30" s="106"/>
      <c r="E30" s="107"/>
      <c r="F30" s="107"/>
      <c r="G30" s="107"/>
      <c r="H30" s="107"/>
      <c r="I30" s="107"/>
      <c r="J30" s="107"/>
      <c r="K30" s="107"/>
      <c r="L30" s="107"/>
      <c r="M30" s="73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5"/>
      <c r="AA30" s="108"/>
      <c r="AB30" s="98"/>
      <c r="AC30" s="98"/>
      <c r="AD30" s="98"/>
      <c r="AE30" s="98"/>
      <c r="AF30" s="98"/>
      <c r="AG30" s="98"/>
      <c r="AH30" s="98"/>
      <c r="AI30" s="98"/>
      <c r="AJ30" s="99"/>
      <c r="AK30" s="37"/>
      <c r="AL30" s="35"/>
    </row>
    <row r="31" spans="1:42" s="12" customFormat="1" ht="7.5" customHeight="1" x14ac:dyDescent="0.25">
      <c r="A31" s="35"/>
      <c r="B31" s="36"/>
      <c r="C31" s="48"/>
      <c r="D31" s="65"/>
      <c r="E31" s="65"/>
      <c r="F31" s="65"/>
      <c r="G31" s="65"/>
      <c r="H31" s="65"/>
      <c r="I31" s="65"/>
      <c r="J31" s="65"/>
      <c r="K31" s="65"/>
      <c r="L31" s="6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7"/>
      <c r="AL31" s="35"/>
    </row>
    <row r="32" spans="1:42" s="12" customFormat="1" ht="13.5" customHeight="1" x14ac:dyDescent="0.25">
      <c r="A32" s="35"/>
      <c r="B32" s="36"/>
      <c r="C32" s="109" t="s">
        <v>576</v>
      </c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37"/>
      <c r="AL32" s="35"/>
    </row>
    <row r="33" spans="1:38" s="12" customFormat="1" ht="13.5" customHeight="1" x14ac:dyDescent="0.25">
      <c r="A33" s="35"/>
      <c r="B33" s="36"/>
      <c r="C33" s="109" t="s">
        <v>577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37"/>
      <c r="AL33" s="35"/>
    </row>
    <row r="34" spans="1:38" s="12" customFormat="1" ht="13.5" customHeight="1" x14ac:dyDescent="0.25">
      <c r="A34" s="35"/>
      <c r="B34" s="36"/>
      <c r="C34" s="109" t="s">
        <v>578</v>
      </c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37"/>
      <c r="AL34" s="35"/>
    </row>
    <row r="35" spans="1:38" s="12" customFormat="1" ht="13.5" customHeight="1" x14ac:dyDescent="0.25">
      <c r="A35" s="35"/>
      <c r="B35" s="36"/>
      <c r="C35" s="35" t="s">
        <v>580</v>
      </c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7"/>
      <c r="AL35" s="35"/>
    </row>
    <row r="36" spans="1:38" s="12" customFormat="1" ht="7.5" customHeight="1" x14ac:dyDescent="0.25">
      <c r="A36" s="35"/>
      <c r="B36" s="36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7"/>
      <c r="AL36" s="35"/>
    </row>
    <row r="37" spans="1:38" s="12" customFormat="1" ht="13.5" customHeight="1" x14ac:dyDescent="0.25">
      <c r="A37" s="35"/>
      <c r="B37" s="36"/>
      <c r="C37" s="100" t="s">
        <v>581</v>
      </c>
      <c r="D37" s="101"/>
      <c r="E37" s="101"/>
      <c r="F37" s="102"/>
      <c r="G37" s="81" t="s">
        <v>582</v>
      </c>
      <c r="H37" s="82"/>
      <c r="I37" s="82"/>
      <c r="J37" s="82"/>
      <c r="K37" s="82"/>
      <c r="L37" s="83"/>
      <c r="M37" s="87" t="s">
        <v>583</v>
      </c>
      <c r="N37" s="88"/>
      <c r="O37" s="88"/>
      <c r="P37" s="89"/>
      <c r="Q37" s="81" t="s">
        <v>584</v>
      </c>
      <c r="R37" s="82"/>
      <c r="S37" s="82"/>
      <c r="T37" s="83"/>
      <c r="U37" s="81" t="s">
        <v>585</v>
      </c>
      <c r="V37" s="82"/>
      <c r="W37" s="82"/>
      <c r="X37" s="83"/>
      <c r="Y37" s="81" t="s">
        <v>586</v>
      </c>
      <c r="Z37" s="82"/>
      <c r="AA37" s="82"/>
      <c r="AB37" s="83"/>
      <c r="AC37" s="81" t="s">
        <v>587</v>
      </c>
      <c r="AD37" s="82"/>
      <c r="AE37" s="82"/>
      <c r="AF37" s="83"/>
      <c r="AG37" s="87" t="s">
        <v>588</v>
      </c>
      <c r="AH37" s="88"/>
      <c r="AI37" s="88"/>
      <c r="AJ37" s="89"/>
      <c r="AK37" s="37"/>
      <c r="AL37" s="35"/>
    </row>
    <row r="38" spans="1:38" s="12" customFormat="1" ht="13.5" customHeight="1" x14ac:dyDescent="0.25">
      <c r="A38" s="35"/>
      <c r="B38" s="36"/>
      <c r="C38" s="103"/>
      <c r="D38" s="104"/>
      <c r="E38" s="104"/>
      <c r="F38" s="105"/>
      <c r="G38" s="93" t="s">
        <v>589</v>
      </c>
      <c r="H38" s="85"/>
      <c r="I38" s="85"/>
      <c r="J38" s="85"/>
      <c r="K38" s="85"/>
      <c r="L38" s="86"/>
      <c r="M38" s="90"/>
      <c r="N38" s="91"/>
      <c r="O38" s="91"/>
      <c r="P38" s="92"/>
      <c r="Q38" s="84"/>
      <c r="R38" s="85"/>
      <c r="S38" s="85"/>
      <c r="T38" s="86"/>
      <c r="U38" s="84"/>
      <c r="V38" s="85"/>
      <c r="W38" s="85"/>
      <c r="X38" s="86"/>
      <c r="Y38" s="84"/>
      <c r="Z38" s="85"/>
      <c r="AA38" s="85"/>
      <c r="AB38" s="86"/>
      <c r="AC38" s="84"/>
      <c r="AD38" s="85"/>
      <c r="AE38" s="85"/>
      <c r="AF38" s="86"/>
      <c r="AG38" s="90"/>
      <c r="AH38" s="91"/>
      <c r="AI38" s="91"/>
      <c r="AJ38" s="92"/>
      <c r="AK38" s="37"/>
      <c r="AL38" s="35"/>
    </row>
    <row r="39" spans="1:38" s="12" customFormat="1" ht="22.5" customHeight="1" x14ac:dyDescent="0.25">
      <c r="A39" s="35"/>
      <c r="B39" s="36"/>
      <c r="C39" s="94" t="s">
        <v>590</v>
      </c>
      <c r="D39" s="95"/>
      <c r="E39" s="95"/>
      <c r="F39" s="96"/>
      <c r="G39" s="81" t="s">
        <v>591</v>
      </c>
      <c r="H39" s="82"/>
      <c r="I39" s="82"/>
      <c r="J39" s="82"/>
      <c r="K39" s="82"/>
      <c r="L39" s="83"/>
      <c r="M39" s="97"/>
      <c r="N39" s="98"/>
      <c r="O39" s="98"/>
      <c r="P39" s="99"/>
      <c r="Q39" s="73"/>
      <c r="R39" s="74"/>
      <c r="S39" s="74"/>
      <c r="T39" s="75"/>
      <c r="U39" s="97"/>
      <c r="V39" s="98"/>
      <c r="W39" s="98"/>
      <c r="X39" s="99"/>
      <c r="Y39" s="73"/>
      <c r="Z39" s="74"/>
      <c r="AA39" s="74"/>
      <c r="AB39" s="75"/>
      <c r="AC39" s="97"/>
      <c r="AD39" s="98"/>
      <c r="AE39" s="98"/>
      <c r="AF39" s="99"/>
      <c r="AG39" s="73" t="s">
        <v>592</v>
      </c>
      <c r="AH39" s="74"/>
      <c r="AI39" s="74"/>
      <c r="AJ39" s="75"/>
      <c r="AK39" s="37"/>
      <c r="AL39" s="35"/>
    </row>
    <row r="40" spans="1:38" s="12" customFormat="1" ht="22.5" customHeight="1" x14ac:dyDescent="0.25">
      <c r="A40" s="35"/>
      <c r="B40" s="36"/>
      <c r="C40" s="76" t="s">
        <v>590</v>
      </c>
      <c r="D40" s="77"/>
      <c r="E40" s="77"/>
      <c r="F40" s="77"/>
      <c r="G40" s="78" t="s">
        <v>593</v>
      </c>
      <c r="H40" s="78"/>
      <c r="I40" s="78"/>
      <c r="J40" s="78"/>
      <c r="K40" s="78"/>
      <c r="L40" s="78"/>
      <c r="M40" s="79"/>
      <c r="N40" s="80"/>
      <c r="O40" s="80"/>
      <c r="P40" s="80"/>
      <c r="Q40" s="73"/>
      <c r="R40" s="74"/>
      <c r="S40" s="74"/>
      <c r="T40" s="75"/>
      <c r="U40" s="79"/>
      <c r="V40" s="80"/>
      <c r="W40" s="80"/>
      <c r="X40" s="80"/>
      <c r="Y40" s="73"/>
      <c r="Z40" s="74"/>
      <c r="AA40" s="74"/>
      <c r="AB40" s="75"/>
      <c r="AC40" s="79"/>
      <c r="AD40" s="80"/>
      <c r="AE40" s="80"/>
      <c r="AF40" s="80"/>
      <c r="AG40" s="78" t="s">
        <v>592</v>
      </c>
      <c r="AH40" s="78"/>
      <c r="AI40" s="78"/>
      <c r="AJ40" s="78"/>
      <c r="AK40" s="37"/>
      <c r="AL40" s="35"/>
    </row>
    <row r="41" spans="1:38" s="12" customFormat="1" ht="22.5" customHeight="1" x14ac:dyDescent="0.25">
      <c r="A41" s="35"/>
      <c r="B41" s="36"/>
      <c r="C41" s="72"/>
      <c r="D41" s="69"/>
      <c r="E41" s="69"/>
      <c r="F41" s="69"/>
      <c r="G41" s="70"/>
      <c r="H41" s="70"/>
      <c r="I41" s="70"/>
      <c r="J41" s="70"/>
      <c r="K41" s="70"/>
      <c r="L41" s="70"/>
      <c r="M41" s="72"/>
      <c r="N41" s="69"/>
      <c r="O41" s="69"/>
      <c r="P41" s="69"/>
      <c r="Q41" s="35"/>
      <c r="R41" s="35"/>
      <c r="S41" s="35"/>
      <c r="T41" s="49"/>
      <c r="U41" s="72"/>
      <c r="V41" s="69"/>
      <c r="W41" s="69"/>
      <c r="X41" s="69"/>
      <c r="Y41" s="35"/>
      <c r="Z41" s="35"/>
      <c r="AA41" s="35"/>
      <c r="AB41" s="49"/>
      <c r="AC41" s="72"/>
      <c r="AD41" s="69"/>
      <c r="AE41" s="69"/>
      <c r="AF41" s="69"/>
      <c r="AG41" s="70"/>
      <c r="AH41" s="70"/>
      <c r="AI41" s="70"/>
      <c r="AJ41" s="70"/>
      <c r="AK41" s="37"/>
      <c r="AL41" s="35"/>
    </row>
    <row r="42" spans="1:38" s="12" customFormat="1" ht="18.95" customHeight="1" x14ac:dyDescent="0.25">
      <c r="A42" s="35"/>
      <c r="B42" s="36"/>
      <c r="C42" s="71" t="s">
        <v>594</v>
      </c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37"/>
      <c r="AL42" s="35"/>
    </row>
    <row r="43" spans="1:38" s="12" customFormat="1" ht="18.95" customHeight="1" x14ac:dyDescent="0.25">
      <c r="A43" s="35"/>
      <c r="B43" s="36"/>
      <c r="C43" s="71" t="s">
        <v>595</v>
      </c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37"/>
      <c r="AL43" s="35"/>
    </row>
    <row r="44" spans="1:38" s="12" customFormat="1" ht="22.5" customHeight="1" x14ac:dyDescent="0.25">
      <c r="A44" s="35"/>
      <c r="B44" s="36"/>
      <c r="C44" s="72"/>
      <c r="D44" s="69"/>
      <c r="E44" s="69"/>
      <c r="F44" s="69"/>
      <c r="G44" s="70"/>
      <c r="H44" s="70"/>
      <c r="I44" s="70"/>
      <c r="J44" s="70"/>
      <c r="K44" s="70"/>
      <c r="L44" s="70"/>
      <c r="M44" s="66"/>
      <c r="N44" s="67"/>
      <c r="O44" s="67"/>
      <c r="P44" s="67"/>
      <c r="Q44" s="35"/>
      <c r="R44" s="35"/>
      <c r="S44" s="35"/>
      <c r="T44" s="49"/>
      <c r="U44" s="66"/>
      <c r="V44" s="67"/>
      <c r="W44" s="67"/>
      <c r="X44" s="67"/>
      <c r="Y44" s="35"/>
      <c r="Z44" s="35"/>
      <c r="AA44" s="35"/>
      <c r="AB44" s="49"/>
      <c r="AC44" s="66"/>
      <c r="AD44" s="67"/>
      <c r="AE44" s="67"/>
      <c r="AF44" s="67"/>
      <c r="AG44" s="70"/>
      <c r="AH44" s="70"/>
      <c r="AI44" s="70"/>
      <c r="AJ44" s="70"/>
      <c r="AK44" s="37"/>
      <c r="AL44" s="35"/>
    </row>
    <row r="45" spans="1:38" s="12" customFormat="1" ht="22.5" customHeight="1" x14ac:dyDescent="0.25">
      <c r="A45" s="35"/>
      <c r="B45" s="36"/>
      <c r="C45" s="69"/>
      <c r="D45" s="69"/>
      <c r="E45" s="69"/>
      <c r="F45" s="69"/>
      <c r="G45" s="70"/>
      <c r="H45" s="70"/>
      <c r="I45" s="70"/>
      <c r="J45" s="70"/>
      <c r="K45" s="70"/>
      <c r="L45" s="70"/>
      <c r="M45" s="52"/>
      <c r="N45" s="52"/>
      <c r="O45" s="52"/>
      <c r="P45" s="49"/>
      <c r="Q45" s="35"/>
      <c r="R45" s="35"/>
      <c r="S45" s="35"/>
      <c r="T45" s="49"/>
      <c r="U45" s="52"/>
      <c r="V45" s="52"/>
      <c r="W45" s="52"/>
      <c r="X45" s="49"/>
      <c r="Y45" s="35"/>
      <c r="Z45" s="35"/>
      <c r="AA45" s="35"/>
      <c r="AB45" s="49"/>
      <c r="AC45" s="52"/>
      <c r="AD45" s="52"/>
      <c r="AE45" s="52"/>
      <c r="AF45" s="49"/>
      <c r="AG45" s="70"/>
      <c r="AH45" s="70"/>
      <c r="AI45" s="70"/>
      <c r="AJ45" s="70"/>
      <c r="AK45" s="37"/>
      <c r="AL45" s="35"/>
    </row>
    <row r="46" spans="1:38" s="12" customFormat="1" ht="22.5" customHeight="1" x14ac:dyDescent="0.25">
      <c r="A46" s="35"/>
      <c r="B46" s="36"/>
      <c r="C46" s="69"/>
      <c r="D46" s="69"/>
      <c r="E46" s="69"/>
      <c r="F46" s="69"/>
      <c r="G46" s="70"/>
      <c r="H46" s="70"/>
      <c r="I46" s="70"/>
      <c r="J46" s="70"/>
      <c r="K46" s="70"/>
      <c r="L46" s="70"/>
      <c r="M46" s="52"/>
      <c r="N46" s="52"/>
      <c r="O46" s="52"/>
      <c r="P46" s="49"/>
      <c r="Q46" s="35"/>
      <c r="R46" s="35"/>
      <c r="S46" s="35"/>
      <c r="T46" s="49"/>
      <c r="U46" s="52"/>
      <c r="V46" s="52"/>
      <c r="W46" s="52"/>
      <c r="X46" s="49"/>
      <c r="Y46" s="35"/>
      <c r="Z46" s="35"/>
      <c r="AA46" s="35"/>
      <c r="AB46" s="49"/>
      <c r="AC46" s="52"/>
      <c r="AD46" s="52"/>
      <c r="AE46" s="52"/>
      <c r="AF46" s="49"/>
      <c r="AG46" s="70"/>
      <c r="AH46" s="70"/>
      <c r="AI46" s="70"/>
      <c r="AJ46" s="70"/>
      <c r="AK46" s="37"/>
      <c r="AL46" s="35"/>
    </row>
    <row r="47" spans="1:38" s="12" customFormat="1" ht="22.5" customHeight="1" x14ac:dyDescent="0.25">
      <c r="A47" s="35"/>
      <c r="B47" s="36"/>
      <c r="C47" s="69"/>
      <c r="D47" s="69"/>
      <c r="E47" s="69"/>
      <c r="F47" s="69"/>
      <c r="G47" s="70"/>
      <c r="H47" s="70"/>
      <c r="I47" s="70"/>
      <c r="J47" s="70"/>
      <c r="K47" s="70"/>
      <c r="L47" s="70"/>
      <c r="M47" s="52"/>
      <c r="N47" s="52"/>
      <c r="O47" s="52"/>
      <c r="P47" s="49"/>
      <c r="Q47" s="35"/>
      <c r="R47" s="35"/>
      <c r="S47" s="35"/>
      <c r="T47" s="49"/>
      <c r="U47" s="52"/>
      <c r="V47" s="52"/>
      <c r="W47" s="52"/>
      <c r="X47" s="49"/>
      <c r="Y47" s="35"/>
      <c r="Z47" s="35"/>
      <c r="AA47" s="35"/>
      <c r="AB47" s="49"/>
      <c r="AC47" s="52"/>
      <c r="AD47" s="52"/>
      <c r="AE47" s="52"/>
      <c r="AF47" s="49"/>
      <c r="AG47" s="70"/>
      <c r="AH47" s="70"/>
      <c r="AI47" s="70"/>
      <c r="AJ47" s="70"/>
      <c r="AK47" s="37"/>
      <c r="AL47" s="35"/>
    </row>
    <row r="48" spans="1:38" s="12" customFormat="1" ht="22.5" customHeight="1" x14ac:dyDescent="0.25">
      <c r="A48" s="35"/>
      <c r="B48" s="36"/>
      <c r="C48" s="69"/>
      <c r="D48" s="69"/>
      <c r="E48" s="69"/>
      <c r="F48" s="69"/>
      <c r="G48" s="70"/>
      <c r="H48" s="70"/>
      <c r="I48" s="70"/>
      <c r="J48" s="70"/>
      <c r="K48" s="70"/>
      <c r="L48" s="70"/>
      <c r="M48" s="52"/>
      <c r="N48" s="52"/>
      <c r="O48" s="52"/>
      <c r="P48" s="49"/>
      <c r="Q48" s="35"/>
      <c r="R48" s="35"/>
      <c r="S48" s="35"/>
      <c r="T48" s="49"/>
      <c r="U48" s="52"/>
      <c r="V48" s="52"/>
      <c r="W48" s="52"/>
      <c r="X48" s="49"/>
      <c r="Y48" s="35"/>
      <c r="Z48" s="35"/>
      <c r="AA48" s="35"/>
      <c r="AB48" s="49"/>
      <c r="AC48" s="52"/>
      <c r="AD48" s="52"/>
      <c r="AE48" s="52"/>
      <c r="AF48" s="49"/>
      <c r="AG48" s="70"/>
      <c r="AH48" s="70"/>
      <c r="AI48" s="70"/>
      <c r="AJ48" s="70"/>
      <c r="AK48" s="37"/>
      <c r="AL48" s="35"/>
    </row>
    <row r="49" spans="1:38" s="12" customFormat="1" ht="22.5" customHeight="1" x14ac:dyDescent="0.25">
      <c r="A49" s="35"/>
      <c r="B49" s="36"/>
      <c r="C49" s="69"/>
      <c r="D49" s="69"/>
      <c r="E49" s="69"/>
      <c r="F49" s="69"/>
      <c r="G49" s="70"/>
      <c r="H49" s="70"/>
      <c r="I49" s="70"/>
      <c r="J49" s="70"/>
      <c r="K49" s="70"/>
      <c r="L49" s="70"/>
      <c r="M49" s="52"/>
      <c r="N49" s="52"/>
      <c r="O49" s="52"/>
      <c r="P49" s="49"/>
      <c r="Q49" s="35"/>
      <c r="R49" s="35"/>
      <c r="S49" s="35"/>
      <c r="T49" s="49"/>
      <c r="U49" s="52"/>
      <c r="V49" s="52"/>
      <c r="W49" s="52"/>
      <c r="X49" s="49"/>
      <c r="Y49" s="35"/>
      <c r="Z49" s="35"/>
      <c r="AA49" s="35"/>
      <c r="AB49" s="49"/>
      <c r="AC49" s="52"/>
      <c r="AD49" s="52"/>
      <c r="AE49" s="52"/>
      <c r="AF49" s="49"/>
      <c r="AG49" s="70"/>
      <c r="AH49" s="70"/>
      <c r="AI49" s="70"/>
      <c r="AJ49" s="70"/>
      <c r="AK49" s="37"/>
      <c r="AL49" s="35"/>
    </row>
    <row r="50" spans="1:38" s="12" customFormat="1" ht="22.5" customHeight="1" x14ac:dyDescent="0.25">
      <c r="A50" s="35"/>
      <c r="B50" s="36"/>
      <c r="C50" s="69"/>
      <c r="D50" s="69"/>
      <c r="E50" s="69"/>
      <c r="F50" s="69"/>
      <c r="G50" s="70"/>
      <c r="H50" s="70"/>
      <c r="I50" s="70"/>
      <c r="J50" s="70"/>
      <c r="K50" s="70"/>
      <c r="L50" s="70"/>
      <c r="M50" s="52"/>
      <c r="N50" s="52"/>
      <c r="O50" s="52"/>
      <c r="P50" s="49"/>
      <c r="Q50" s="35"/>
      <c r="R50" s="35"/>
      <c r="S50" s="35"/>
      <c r="T50" s="49"/>
      <c r="U50" s="52"/>
      <c r="V50" s="52"/>
      <c r="W50" s="52"/>
      <c r="X50" s="49"/>
      <c r="Y50" s="35"/>
      <c r="Z50" s="35"/>
      <c r="AA50" s="35"/>
      <c r="AB50" s="49"/>
      <c r="AC50" s="52"/>
      <c r="AD50" s="52"/>
      <c r="AE50" s="52"/>
      <c r="AF50" s="49"/>
      <c r="AG50" s="70"/>
      <c r="AH50" s="70"/>
      <c r="AI50" s="70"/>
      <c r="AJ50" s="70"/>
      <c r="AK50" s="37"/>
      <c r="AL50" s="35"/>
    </row>
    <row r="51" spans="1:38" s="11" customFormat="1" ht="12.95" customHeight="1" x14ac:dyDescent="0.25">
      <c r="A51" s="22"/>
      <c r="B51" s="31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3"/>
      <c r="AL51" s="22"/>
    </row>
    <row r="52" spans="1:38" s="11" customFormat="1" ht="3.75" customHeight="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</row>
    <row r="53" spans="1:38" s="11" customFormat="1" ht="12" customHeight="1" x14ac:dyDescent="0.25">
      <c r="A53" s="22"/>
      <c r="B53" s="22" t="s">
        <v>596</v>
      </c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</row>
    <row r="54" spans="1:38" s="11" customFormat="1" ht="12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</row>
    <row r="55" spans="1:38" s="11" customFormat="1" ht="12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</row>
    <row r="56" spans="1:38" s="11" customFormat="1" ht="12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</row>
    <row r="57" spans="1:38" s="11" customFormat="1" ht="12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</row>
    <row r="58" spans="1:38" s="11" customFormat="1" ht="12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</row>
    <row r="59" spans="1:38" s="11" customFormat="1" ht="12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</row>
    <row r="60" spans="1:38" s="11" customFormat="1" ht="12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</row>
    <row r="61" spans="1:38" s="11" customFormat="1" ht="12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</row>
    <row r="62" spans="1:38" s="11" customFormat="1" ht="12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</row>
    <row r="63" spans="1:38" s="11" customFormat="1" ht="12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</row>
    <row r="64" spans="1:38" s="11" customFormat="1" ht="12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</row>
    <row r="65" spans="1:38" s="11" customFormat="1" ht="12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</row>
    <row r="66" spans="1:38" s="11" customFormat="1" ht="12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</row>
    <row r="67" spans="1:38" s="11" customFormat="1" ht="12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</row>
    <row r="68" spans="1:38" s="11" customFormat="1" ht="12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</row>
    <row r="69" spans="1:38" s="11" customFormat="1" ht="12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</row>
    <row r="70" spans="1:38" s="11" customFormat="1" ht="12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</row>
    <row r="71" spans="1:38" s="11" customFormat="1" ht="12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</row>
    <row r="72" spans="1:38" s="11" customFormat="1" ht="12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</row>
    <row r="73" spans="1:38" s="11" customFormat="1" ht="12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</row>
    <row r="74" spans="1:38" s="11" customFormat="1" ht="12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</row>
    <row r="75" spans="1:38" s="11" customFormat="1" ht="12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</row>
    <row r="76" spans="1:38" s="11" customFormat="1" ht="12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</row>
    <row r="77" spans="1:38" s="11" customFormat="1" ht="12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</row>
    <row r="78" spans="1:38" s="11" customFormat="1" ht="12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</row>
    <row r="79" spans="1:38" s="11" customFormat="1" ht="12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</row>
    <row r="80" spans="1:38" s="11" customFormat="1" ht="12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</row>
    <row r="81" spans="1:38" s="11" customFormat="1" ht="12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</row>
    <row r="82" spans="1:38" s="11" customFormat="1" ht="12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</row>
    <row r="83" spans="1:38" s="11" customFormat="1" ht="12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</row>
    <row r="84" spans="1:38" s="11" customFormat="1" ht="12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</row>
    <row r="85" spans="1:38" s="11" customFormat="1" ht="12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</row>
    <row r="86" spans="1:38" s="11" customFormat="1" ht="12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</row>
    <row r="87" spans="1:38" s="11" customFormat="1" ht="12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</row>
    <row r="88" spans="1:38" s="11" customFormat="1" ht="12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</row>
    <row r="89" spans="1:38" s="11" customFormat="1" ht="12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</row>
    <row r="90" spans="1:38" s="11" customFormat="1" ht="12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</row>
    <row r="91" spans="1:38" s="11" customFormat="1" ht="12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</row>
    <row r="92" spans="1:38" s="11" customFormat="1" ht="12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</row>
    <row r="93" spans="1:38" s="11" customFormat="1" ht="12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</row>
    <row r="94" spans="1:38" s="11" customFormat="1" ht="12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</row>
    <row r="95" spans="1:38" s="11" customFormat="1" ht="12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</row>
    <row r="96" spans="1:38" s="11" customFormat="1" ht="12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</row>
    <row r="97" spans="1:38" s="11" customFormat="1" ht="12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</row>
    <row r="98" spans="1:38" s="11" customFormat="1" ht="12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</row>
    <row r="99" spans="1:38" s="11" customFormat="1" ht="12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</row>
    <row r="100" spans="1:38" s="11" customFormat="1" ht="12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</row>
    <row r="101" spans="1:38" s="11" customFormat="1" ht="12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</row>
    <row r="102" spans="1:38" s="11" customFormat="1" ht="12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</row>
    <row r="103" spans="1:38" s="11" customFormat="1" ht="12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</row>
    <row r="104" spans="1:38" s="11" customFormat="1" ht="12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</row>
    <row r="105" spans="1:38" s="11" customFormat="1" ht="12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</row>
    <row r="106" spans="1:38" s="11" customFormat="1" ht="12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</row>
    <row r="107" spans="1:38" s="11" customFormat="1" ht="12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</row>
    <row r="108" spans="1:38" s="11" customFormat="1" ht="12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</row>
    <row r="109" spans="1:38" s="11" customFormat="1" ht="12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</row>
    <row r="110" spans="1:38" s="11" customFormat="1" ht="12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</row>
    <row r="111" spans="1:38" s="11" customFormat="1" ht="12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</row>
    <row r="112" spans="1:38" s="11" customFormat="1" ht="12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</row>
    <row r="113" spans="1:38" s="11" customFormat="1" ht="12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</row>
    <row r="114" spans="1:38" s="11" customFormat="1" ht="12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</row>
    <row r="115" spans="1:38" s="11" customFormat="1" ht="12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</row>
    <row r="116" spans="1:38" s="11" customFormat="1" ht="12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</row>
    <row r="117" spans="1:38" s="11" customFormat="1" ht="12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</row>
    <row r="118" spans="1:38" s="11" customFormat="1" ht="12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</row>
    <row r="119" spans="1:38" s="11" customFormat="1" ht="12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</row>
    <row r="120" spans="1:38" s="11" customFormat="1" ht="12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</row>
    <row r="121" spans="1:38" s="11" customFormat="1" ht="12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</row>
    <row r="122" spans="1:38" s="11" customFormat="1" ht="12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</row>
    <row r="123" spans="1:38" s="11" customFormat="1" ht="12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</row>
    <row r="124" spans="1:38" s="11" customFormat="1" ht="12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</row>
    <row r="125" spans="1:38" s="11" customFormat="1" ht="12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</row>
    <row r="126" spans="1:38" s="11" customFormat="1" ht="12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</row>
    <row r="127" spans="1:38" s="11" customFormat="1" ht="12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</row>
    <row r="128" spans="1:38" s="11" customFormat="1" ht="12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</row>
    <row r="129" spans="1:38" s="11" customFormat="1" ht="12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</row>
    <row r="130" spans="1:38" s="11" customFormat="1" ht="12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</row>
    <row r="131" spans="1:38" s="11" customFormat="1" ht="12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</row>
    <row r="132" spans="1:38" s="11" customFormat="1" ht="12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</row>
    <row r="133" spans="1:38" s="11" customFormat="1" ht="12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</row>
    <row r="134" spans="1:38" s="11" customFormat="1" ht="12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</row>
    <row r="135" spans="1:38" s="11" customFormat="1" ht="12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</row>
    <row r="136" spans="1:38" s="11" customFormat="1" ht="12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</row>
    <row r="137" spans="1:38" s="11" customFormat="1" ht="12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</row>
    <row r="138" spans="1:38" s="11" customFormat="1" ht="12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</row>
    <row r="139" spans="1:38" s="11" customFormat="1" ht="12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</row>
    <row r="140" spans="1:38" s="11" customFormat="1" ht="12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</row>
    <row r="141" spans="1:38" s="11" customFormat="1" ht="12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</row>
    <row r="142" spans="1:38" s="11" customFormat="1" ht="12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</row>
    <row r="143" spans="1:38" s="11" customFormat="1" ht="12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</row>
    <row r="144" spans="1:38" s="11" customFormat="1" ht="12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</row>
    <row r="145" spans="1:38" s="11" customFormat="1" ht="12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</row>
  </sheetData>
  <sheetProtection password="CEEA" sheet="1" objects="1" scenarios="1"/>
  <mergeCells count="104">
    <mergeCell ref="C50:F50"/>
    <mergeCell ref="G50:L50"/>
    <mergeCell ref="AG50:AJ50"/>
    <mergeCell ref="C48:F48"/>
    <mergeCell ref="G48:L48"/>
    <mergeCell ref="AG48:AJ48"/>
    <mergeCell ref="C49:F49"/>
    <mergeCell ref="G49:L49"/>
    <mergeCell ref="AG49:AJ49"/>
    <mergeCell ref="C46:F46"/>
    <mergeCell ref="G46:L46"/>
    <mergeCell ref="AG46:AJ46"/>
    <mergeCell ref="C47:F47"/>
    <mergeCell ref="G47:L47"/>
    <mergeCell ref="AG47:AJ47"/>
    <mergeCell ref="C42:AJ42"/>
    <mergeCell ref="C43:AJ43"/>
    <mergeCell ref="C44:F44"/>
    <mergeCell ref="G44:L44"/>
    <mergeCell ref="AG44:AJ44"/>
    <mergeCell ref="C45:F45"/>
    <mergeCell ref="G45:L45"/>
    <mergeCell ref="AG45:AJ45"/>
    <mergeCell ref="C41:F41"/>
    <mergeCell ref="G41:L41"/>
    <mergeCell ref="M41:P41"/>
    <mergeCell ref="U41:X41"/>
    <mergeCell ref="AC41:AF41"/>
    <mergeCell ref="AG41:AJ41"/>
    <mergeCell ref="AG39:AJ39"/>
    <mergeCell ref="C40:F40"/>
    <mergeCell ref="G40:L40"/>
    <mergeCell ref="M40:P40"/>
    <mergeCell ref="Q40:T40"/>
    <mergeCell ref="U40:X40"/>
    <mergeCell ref="Y40:AB40"/>
    <mergeCell ref="AC40:AF40"/>
    <mergeCell ref="AG40:AJ40"/>
    <mergeCell ref="AC37:AF38"/>
    <mergeCell ref="AG37:AJ38"/>
    <mergeCell ref="G38:L38"/>
    <mergeCell ref="C39:F39"/>
    <mergeCell ref="G39:L39"/>
    <mergeCell ref="M39:P39"/>
    <mergeCell ref="Q39:T39"/>
    <mergeCell ref="U39:X39"/>
    <mergeCell ref="Y39:AB39"/>
    <mergeCell ref="AC39:AF39"/>
    <mergeCell ref="C37:F38"/>
    <mergeCell ref="G37:L37"/>
    <mergeCell ref="M37:P38"/>
    <mergeCell ref="Q37:T38"/>
    <mergeCell ref="U37:X38"/>
    <mergeCell ref="Y37:AB38"/>
    <mergeCell ref="D30:L30"/>
    <mergeCell ref="M30:Z30"/>
    <mergeCell ref="AA30:AJ30"/>
    <mergeCell ref="C32:AJ32"/>
    <mergeCell ref="C33:AJ33"/>
    <mergeCell ref="C34:AJ34"/>
    <mergeCell ref="D28:L28"/>
    <mergeCell ref="M28:Z28"/>
    <mergeCell ref="AA28:AJ28"/>
    <mergeCell ref="D29:L29"/>
    <mergeCell ref="M29:Z29"/>
    <mergeCell ref="AA29:AJ29"/>
    <mergeCell ref="D26:L26"/>
    <mergeCell ref="M26:Z26"/>
    <mergeCell ref="AA26:AJ26"/>
    <mergeCell ref="D27:L27"/>
    <mergeCell ref="M27:Z27"/>
    <mergeCell ref="AA27:AJ27"/>
    <mergeCell ref="C18:J18"/>
    <mergeCell ref="K18:S18"/>
    <mergeCell ref="T18:AA18"/>
    <mergeCell ref="AB18:AJ18"/>
    <mergeCell ref="C24:AJ24"/>
    <mergeCell ref="C25:L25"/>
    <mergeCell ref="M25:Z25"/>
    <mergeCell ref="AA25:AJ25"/>
    <mergeCell ref="C14:J14"/>
    <mergeCell ref="K14:S14"/>
    <mergeCell ref="T14:AA14"/>
    <mergeCell ref="AB14:AJ14"/>
    <mergeCell ref="C15:J15"/>
    <mergeCell ref="K15:S15"/>
    <mergeCell ref="T15:AA15"/>
    <mergeCell ref="AB15:AJ15"/>
    <mergeCell ref="C16:J16"/>
    <mergeCell ref="K16:S16"/>
    <mergeCell ref="T16:AA16"/>
    <mergeCell ref="AC16:AD16"/>
    <mergeCell ref="AF16:AG16"/>
    <mergeCell ref="H2:AB3"/>
    <mergeCell ref="V5:AE5"/>
    <mergeCell ref="AF5:AJ5"/>
    <mergeCell ref="V6:Z6"/>
    <mergeCell ref="AA6:AE6"/>
    <mergeCell ref="AF6:AJ6"/>
    <mergeCell ref="J9:S9"/>
    <mergeCell ref="C13:J13"/>
    <mergeCell ref="K13:S13"/>
    <mergeCell ref="T13:AA13"/>
    <mergeCell ref="AB13:AJ13"/>
  </mergeCells>
  <printOptions horizontalCentered="1" verticalCentered="1"/>
  <pageMargins left="0.59055118110236204" right="0.39370078740157499" top="0.39370078740157499" bottom="0.39370078740157499" header="0.511811023622047" footer="0.511811023622047"/>
  <pageSetup paperSize="9" scale="87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"/>
  <sheetViews>
    <sheetView zoomScale="145" zoomScaleNormal="145" workbookViewId="0">
      <selection activeCell="E8" sqref="E8"/>
    </sheetView>
  </sheetViews>
  <sheetFormatPr defaultRowHeight="15" x14ac:dyDescent="0.25"/>
  <cols>
    <col min="1" max="1" width="14" customWidth="1"/>
    <col min="2" max="2" width="25.85546875" style="5" customWidth="1"/>
    <col min="3" max="3" width="37.140625" bestFit="1" customWidth="1"/>
  </cols>
  <sheetData>
    <row r="1" spans="1:3" x14ac:dyDescent="0.25">
      <c r="A1" s="6" t="s">
        <v>600</v>
      </c>
      <c r="B1" s="7" t="s">
        <v>601</v>
      </c>
      <c r="C1" s="6" t="s">
        <v>602</v>
      </c>
    </row>
    <row r="2" spans="1:3" x14ac:dyDescent="0.25">
      <c r="A2" s="4" t="s">
        <v>597</v>
      </c>
      <c r="B2" s="8" t="s">
        <v>545</v>
      </c>
      <c r="C2" s="4" t="s">
        <v>570</v>
      </c>
    </row>
    <row r="3" spans="1:3" x14ac:dyDescent="0.25">
      <c r="A3" s="4" t="s">
        <v>598</v>
      </c>
      <c r="B3" s="8" t="s">
        <v>548</v>
      </c>
      <c r="C3" s="4" t="s">
        <v>571</v>
      </c>
    </row>
    <row r="4" spans="1:3" x14ac:dyDescent="0.25">
      <c r="A4" s="4" t="s">
        <v>599</v>
      </c>
      <c r="B4" s="8" t="s">
        <v>553</v>
      </c>
      <c r="C4" s="4" t="s">
        <v>573</v>
      </c>
    </row>
    <row r="5" spans="1:3" x14ac:dyDescent="0.25">
      <c r="A5" s="4" t="s">
        <v>239</v>
      </c>
      <c r="B5" s="8" t="s">
        <v>554</v>
      </c>
      <c r="C5" s="4" t="s">
        <v>575</v>
      </c>
    </row>
    <row r="6" spans="1:3" x14ac:dyDescent="0.25">
      <c r="A6" s="9" t="s">
        <v>49</v>
      </c>
      <c r="B6" s="8" t="s">
        <v>542</v>
      </c>
      <c r="C6" s="4" t="s">
        <v>579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Sheet1</vt:lpstr>
      <vt:lpstr>UPDATED</vt:lpstr>
      <vt:lpstr>ICT1800</vt:lpstr>
      <vt:lpstr>ICT2000</vt:lpstr>
      <vt:lpstr>Sheet3</vt:lpstr>
      <vt:lpstr>'ICT1800'!Print_Area</vt:lpstr>
      <vt:lpstr>'ICT2000'!Print_Area</vt:lpstr>
      <vt:lpstr>RunOnOpen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RPLSL033003</dc:creator>
  <cp:lastModifiedBy>FYI3</cp:lastModifiedBy>
  <dcterms:created xsi:type="dcterms:W3CDTF">2025-07-31T11:32:19Z</dcterms:created>
  <dcterms:modified xsi:type="dcterms:W3CDTF">2025-09-19T09:12:49Z</dcterms:modified>
</cp:coreProperties>
</file>